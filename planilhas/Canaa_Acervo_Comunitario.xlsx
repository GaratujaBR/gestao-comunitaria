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Painel Acer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25">
    <font>
      <name val="Calibri"/>
      <family val="2"/>
      <color theme="1"/>
      <sz val="11"/>
      <scheme val="minor"/>
    </font>
    <font>
      <b val="1"/>
      <color rgb="00FFFFFF"/>
    </font>
    <font>
      <b val="1"/>
      <color rgb="001565C0"/>
      <sz val="14"/>
    </font>
    <font>
      <b val="1"/>
      <color rgb="001565C0"/>
      <sz val="12"/>
    </font>
    <font>
      <b val="1"/>
      <color rgb="001565C0"/>
      <sz val="18"/>
    </font>
    <font>
      <i val="1"/>
      <color rgb="00666666"/>
    </font>
    <font>
      <b val="1"/>
      <color rgb="000D47A1"/>
      <sz val="11"/>
    </font>
    <font>
      <b val="1"/>
      <color rgb="002E7D32"/>
      <sz val="11"/>
    </font>
    <font>
      <b val="1"/>
      <color rgb="001565C0"/>
      <sz val="11"/>
    </font>
    <font>
      <b val="1"/>
      <color rgb="000D47A1"/>
      <sz val="20"/>
    </font>
    <font>
      <b val="1"/>
      <color rgb="000D47A1"/>
      <sz val="18"/>
    </font>
    <font>
      <b val="1"/>
      <color rgb="002E7D32"/>
      <sz val="18"/>
    </font>
    <font>
      <b val="1"/>
      <color rgb="00333333"/>
      <sz val="12"/>
    </font>
    <font>
      <b val="1"/>
    </font>
    <font>
      <name val="Montserrat"/>
      <color rgb="001A1A1A"/>
      <sz val="10"/>
    </font>
    <font>
      <name val="Montserrat"/>
      <b val="1"/>
      <color rgb="00FFFFFF"/>
      <sz val="11"/>
    </font>
    <font>
      <name val="Montserrat"/>
      <b val="1"/>
      <color rgb="002D5A27"/>
      <sz val="10"/>
    </font>
    <font>
      <name val="Montserrat"/>
      <b val="1"/>
      <color rgb="001A1A1A"/>
      <sz val="10"/>
    </font>
    <font>
      <name val="Montserrat"/>
      <color rgb="001A1A1A"/>
      <sz val="11"/>
    </font>
    <font>
      <name val="Montserrat"/>
      <b val="1"/>
      <color rgb="002D5A27"/>
      <sz val="13"/>
    </font>
    <font>
      <name val="Montserrat"/>
      <b val="1"/>
      <color rgb="002D5A27"/>
      <sz val="20"/>
    </font>
    <font>
      <name val="Montserrat"/>
      <i val="1"/>
      <color rgb="004D4D4D"/>
      <sz val="10"/>
    </font>
    <font>
      <name val="Montserrat"/>
      <b val="1"/>
      <color rgb="002D5A27"/>
      <sz val="11"/>
    </font>
    <font>
      <name val="Montserrat"/>
      <b val="1"/>
      <color rgb="002D5A27"/>
      <sz val="22"/>
    </font>
    <font>
      <name val="Montserrat"/>
      <b val="1"/>
      <color rgb="002D5A27"/>
      <sz val="12"/>
    </font>
  </fonts>
  <fills count="1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C8E6C9"/>
        <bgColor rgb="00C8E6C9"/>
      </patternFill>
    </fill>
    <fill>
      <patternFill patternType="solid">
        <fgColor rgb="00BBDEFB"/>
        <bgColor rgb="00BBDEFB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555555"/>
        <bgColor rgb="00555555"/>
      </patternFill>
    </fill>
    <fill>
      <patternFill patternType="solid">
        <fgColor rgb="00F3EFE0"/>
        <bgColor rgb="00F3EFE0"/>
      </patternFill>
    </fill>
    <fill>
      <patternFill patternType="solid">
        <fgColor rgb="002D5A27"/>
        <bgColor rgb="002D5A27"/>
      </patternFill>
    </fill>
    <fill>
      <patternFill patternType="solid">
        <fgColor rgb="0090EE90"/>
        <bgColor rgb="0090EE90"/>
      </patternFill>
    </fill>
    <fill>
      <patternFill patternType="solid">
        <fgColor rgb="00D5E8D4"/>
        <bgColor rgb="00D5E8D4"/>
      </patternFill>
    </fill>
    <fill>
      <patternFill patternType="solid">
        <fgColor rgb="0088C9A1"/>
        <bgColor rgb="0088C9A1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6B8E23"/>
      </left>
      <right style="thin">
        <color rgb="006B8E23"/>
      </right>
      <top style="thin">
        <color rgb="006B8E23"/>
      </top>
      <bottom style="thin">
        <color rgb="006B8E23"/>
      </bottom>
    </border>
    <border>
      <left style="medium">
        <color rgb="004A5D23"/>
      </left>
      <right style="medium">
        <color rgb="004A5D23"/>
      </right>
      <top style="medium">
        <color rgb="004A5D23"/>
      </top>
      <bottom style="medium">
        <color rgb="004A5D23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5" borderId="0" pivotButton="0" quotePrefix="0" xfId="0"/>
    <xf numFmtId="0" fontId="13" fillId="0" borderId="0" pivotButton="0" quotePrefix="0" xfId="0"/>
    <xf numFmtId="165" fontId="13" fillId="0" borderId="0" pivotButton="0" quotePrefix="0" xfId="0"/>
    <xf numFmtId="0" fontId="13" fillId="6" borderId="0" pivotButton="0" quotePrefix="0" xfId="0"/>
    <xf numFmtId="0" fontId="1" fillId="7" borderId="0" applyAlignment="1" pivotButton="0" quotePrefix="0" xfId="0">
      <alignment horizontal="center"/>
    </xf>
    <xf numFmtId="0" fontId="15" fillId="9" borderId="1" applyAlignment="1" pivotButton="0" quotePrefix="0" xfId="0">
      <alignment horizontal="center" vertical="center" wrapText="1"/>
    </xf>
    <xf numFmtId="164" fontId="14" fillId="8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165" fontId="17" fillId="8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left" vertical="center"/>
    </xf>
    <xf numFmtId="0" fontId="19" fillId="11" borderId="1" pivotButton="0" quotePrefix="0" xfId="0"/>
    <xf numFmtId="0" fontId="18" fillId="8" borderId="1" pivotButton="0" quotePrefix="0" xfId="0"/>
    <xf numFmtId="0" fontId="20" fillId="11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/>
    </xf>
    <xf numFmtId="0" fontId="22" fillId="12" borderId="2" applyAlignment="1" pivotButton="0" quotePrefix="0" xfId="0">
      <alignment horizontal="center" vertical="center"/>
    </xf>
    <xf numFmtId="0" fontId="23" fillId="12" borderId="2" applyAlignment="1" pivotButton="0" quotePrefix="0" xfId="0">
      <alignment horizontal="center" vertical="center"/>
    </xf>
    <xf numFmtId="165" fontId="23" fillId="12" borderId="2" applyAlignment="1" pivotButton="0" quotePrefix="0" xfId="0">
      <alignment horizontal="center" vertical="center"/>
    </xf>
    <xf numFmtId="0" fontId="14" fillId="0" borderId="1" pivotButton="0" quotePrefix="0" xfId="0"/>
    <xf numFmtId="0" fontId="14" fillId="13" borderId="1" pivotButton="0" quotePrefix="0" xfId="0"/>
    <xf numFmtId="0" fontId="14" fillId="8" borderId="1" pivotButton="0" quotePrefix="0" xfId="0"/>
    <xf numFmtId="165" fontId="14" fillId="8" borderId="1" pivotButton="0" quotePrefix="0" xfId="0"/>
    <xf numFmtId="165" fontId="14" fillId="13" borderId="1" pivotButton="0" quotePrefix="0" xfId="0"/>
    <xf numFmtId="0" fontId="24" fillId="11" borderId="1" pivotButton="0" quotePrefix="0" xfId="0"/>
    <xf numFmtId="0" fontId="14" fillId="13" borderId="1" applyAlignment="1" pivotButton="0" quotePrefix="0" xfId="0">
      <alignment horizontal="center"/>
    </xf>
    <xf numFmtId="164" fontId="14" fillId="8" borderId="1" pivotButton="0" quotePrefix="0" xfId="0"/>
    <xf numFmtId="164" fontId="14" fillId="1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Itens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'Painel Acervo'!B7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 Acervo'!$A$8:$A$15</f>
            </numRef>
          </cat>
          <val>
            <numRef>
              <f>'Painel Acervo'!$B$8:$B$15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Disponibilidade do Acervo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 Acervo'!B18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 Acervo'!$A$19:$A$21</f>
            </numRef>
          </cat>
          <val>
            <numRef>
              <f>'Painel Acervo'!$B$19:$B$21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18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CAF50"/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40" customWidth="1" min="4" max="4"/>
    <col width="8" customWidth="1" min="5" max="5"/>
    <col width="20" customWidth="1" min="6" max="6"/>
    <col width="12" customWidth="1" min="7" max="7"/>
    <col width="18" customWidth="1" min="8" max="8"/>
    <col width="16" customWidth="1" min="9" max="9"/>
    <col width="16" customWidth="1" min="10" max="10"/>
    <col width="16" customWidth="1" min="11" max="11"/>
    <col width="22" customWidth="1" min="12" max="12"/>
  </cols>
  <sheetData>
    <row r="1">
      <c r="A1" s="22" t="inlineStr">
        <is>
          <t>Data de Entrada</t>
        </is>
      </c>
      <c r="B1" s="22" t="inlineStr">
        <is>
          <t>Objeto</t>
        </is>
      </c>
      <c r="C1" s="22" t="inlineStr">
        <is>
          <t>Categoria</t>
        </is>
      </c>
      <c r="D1" s="22" t="inlineStr">
        <is>
          <t>Descrição</t>
        </is>
      </c>
      <c r="E1" s="22" t="inlineStr">
        <is>
          <t>Qtdd</t>
        </is>
      </c>
      <c r="F1" s="22" t="inlineStr">
        <is>
          <t>Local/Área</t>
        </is>
      </c>
      <c r="G1" s="22" t="inlineStr">
        <is>
          <t>Estado</t>
        </is>
      </c>
      <c r="H1" s="22" t="inlineStr">
        <is>
          <t>Responsável/Origem</t>
        </is>
      </c>
      <c r="I1" s="22" t="inlineStr">
        <is>
          <t>Valor Estimado (R$)</t>
        </is>
      </c>
      <c r="J1" s="22" t="inlineStr">
        <is>
          <t>Disponibilidade</t>
        </is>
      </c>
      <c r="K1" s="22" t="inlineStr">
        <is>
          <t>Origem</t>
        </is>
      </c>
      <c r="L1" s="22" t="inlineStr">
        <is>
          <t>Foto/Link</t>
        </is>
      </c>
    </row>
    <row r="2">
      <c r="A2" s="23" t="inlineStr">
        <is>
          <t>2026-01-21</t>
        </is>
      </c>
      <c r="B2" s="24" t="inlineStr">
        <is>
          <t>Pratos</t>
        </is>
      </c>
      <c r="C2" s="24" t="inlineStr">
        <is>
          <t>Cozinha</t>
        </is>
      </c>
      <c r="D2" s="24" t="inlineStr">
        <is>
          <t>Porcelana branca lisa</t>
        </is>
      </c>
      <c r="E2" s="24" t="n">
        <v>10</v>
      </c>
      <c r="F2" s="24" t="inlineStr">
        <is>
          <t>Cozinha comunitária</t>
        </is>
      </c>
      <c r="G2" s="24" t="inlineStr">
        <is>
          <t>Bom</t>
        </is>
      </c>
      <c r="H2" s="24" t="inlineStr">
        <is>
          <t>Ina</t>
        </is>
      </c>
      <c r="I2" s="25" t="n">
        <v>140</v>
      </c>
      <c r="J2" s="26" t="inlineStr">
        <is>
          <t>Disponível</t>
        </is>
      </c>
      <c r="K2" s="24" t="inlineStr">
        <is>
          <t>Compra coletiva</t>
        </is>
      </c>
      <c r="L2" s="24" t="inlineStr"/>
    </row>
    <row r="3">
      <c r="A3" s="23" t="inlineStr">
        <is>
          <t>2026-01-21</t>
        </is>
      </c>
      <c r="B3" s="24" t="inlineStr">
        <is>
          <t>Botijão de gás</t>
        </is>
      </c>
      <c r="C3" s="24" t="inlineStr">
        <is>
          <t>Cozinha</t>
        </is>
      </c>
      <c r="D3" s="24" t="inlineStr">
        <is>
          <t>Botijão P13</t>
        </is>
      </c>
      <c r="E3" s="24" t="n">
        <v>1</v>
      </c>
      <c r="F3" s="24" t="inlineStr">
        <is>
          <t>Cozinha comunitária</t>
        </is>
      </c>
      <c r="G3" s="24" t="inlineStr">
        <is>
          <t>Bom</t>
        </is>
      </c>
      <c r="H3" s="24" t="inlineStr">
        <is>
          <t>Ivyh</t>
        </is>
      </c>
      <c r="I3" s="25" t="n">
        <v>300</v>
      </c>
      <c r="J3" s="27" t="inlineStr">
        <is>
          <t>Em uso</t>
        </is>
      </c>
      <c r="K3" s="24" t="inlineStr">
        <is>
          <t>Compra coletiva</t>
        </is>
      </c>
      <c r="L3" s="24" t="inlineStr"/>
    </row>
    <row r="4">
      <c r="A4" s="23" t="inlineStr">
        <is>
          <t>2026-01-21</t>
        </is>
      </c>
      <c r="B4" s="24" t="inlineStr">
        <is>
          <t>Garrafa térmica chá</t>
        </is>
      </c>
      <c r="C4" s="24" t="inlineStr">
        <is>
          <t>Cozinha</t>
        </is>
      </c>
      <c r="D4" s="24" t="inlineStr">
        <is>
          <t>Plástico, preto, modelo pump</t>
        </is>
      </c>
      <c r="E4" s="24" t="n">
        <v>1</v>
      </c>
      <c r="F4" s="24" t="inlineStr">
        <is>
          <t>Cozinha comunitária</t>
        </is>
      </c>
      <c r="G4" s="24" t="inlineStr">
        <is>
          <t>Bom</t>
        </is>
      </c>
      <c r="H4" s="24" t="inlineStr">
        <is>
          <t>Maira</t>
        </is>
      </c>
      <c r="I4" s="25" t="n">
        <v>60</v>
      </c>
      <c r="J4" s="26" t="inlineStr">
        <is>
          <t>Disponível</t>
        </is>
      </c>
      <c r="K4" s="24" t="inlineStr">
        <is>
          <t>Compra coletiva</t>
        </is>
      </c>
      <c r="L4" s="24" t="inlineStr"/>
    </row>
    <row r="5">
      <c r="A5" s="23" t="inlineStr">
        <is>
          <t>2026-01-21</t>
        </is>
      </c>
      <c r="B5" s="24" t="inlineStr">
        <is>
          <t>Talheres</t>
        </is>
      </c>
      <c r="C5" s="24" t="inlineStr">
        <is>
          <t>Cozinha</t>
        </is>
      </c>
      <c r="D5" s="24" t="inlineStr">
        <is>
          <t>Jogo de inox com cabo de plástico preto</t>
        </is>
      </c>
      <c r="E5" s="24" t="n">
        <v>6</v>
      </c>
      <c r="F5" s="24" t="inlineStr">
        <is>
          <t>Cozinha comunitária</t>
        </is>
      </c>
      <c r="G5" s="24" t="inlineStr">
        <is>
          <t>Bom</t>
        </is>
      </c>
      <c r="H5" s="24" t="inlineStr">
        <is>
          <t>Comunidade</t>
        </is>
      </c>
      <c r="I5" s="25" t="n">
        <v>204</v>
      </c>
      <c r="J5" s="26" t="inlineStr">
        <is>
          <t>Disponível</t>
        </is>
      </c>
      <c r="K5" s="24" t="inlineStr">
        <is>
          <t>Compra coletiva</t>
        </is>
      </c>
      <c r="L5" s="24" t="inlineStr"/>
    </row>
    <row r="6">
      <c r="A6" s="23" t="inlineStr">
        <is>
          <t>2026-01-21</t>
        </is>
      </c>
      <c r="B6" s="24" t="inlineStr">
        <is>
          <t>Porta talheres</t>
        </is>
      </c>
      <c r="C6" s="24" t="inlineStr">
        <is>
          <t>Cozinha</t>
        </is>
      </c>
      <c r="D6" s="24" t="inlineStr">
        <is>
          <t>Plástico, preto</t>
        </is>
      </c>
      <c r="E6" s="24" t="n">
        <v>1</v>
      </c>
      <c r="F6" s="24" t="inlineStr">
        <is>
          <t>Cozinha comunitária</t>
        </is>
      </c>
      <c r="G6" s="24" t="inlineStr">
        <is>
          <t>Bom</t>
        </is>
      </c>
      <c r="H6" s="24" t="inlineStr">
        <is>
          <t>Comunidade</t>
        </is>
      </c>
      <c r="I6" s="25" t="n">
        <v>25</v>
      </c>
      <c r="J6" s="26" t="inlineStr">
        <is>
          <t>Disponível</t>
        </is>
      </c>
      <c r="K6" s="24" t="inlineStr">
        <is>
          <t>Compra coletiva</t>
        </is>
      </c>
      <c r="L6" s="24" t="inlineStr"/>
    </row>
    <row r="7">
      <c r="A7" s="23" t="inlineStr">
        <is>
          <t>2026-01-21</t>
        </is>
      </c>
      <c r="B7" s="24" t="inlineStr">
        <is>
          <t>Concha</t>
        </is>
      </c>
      <c r="C7" s="24" t="inlineStr">
        <is>
          <t>Cozinha</t>
        </is>
      </c>
      <c r="D7" s="24" t="inlineStr">
        <is>
          <t>Plástico preto</t>
        </is>
      </c>
      <c r="E7" s="24" t="n">
        <v>1</v>
      </c>
      <c r="F7" s="24" t="inlineStr">
        <is>
          <t>Cozinha comunitária</t>
        </is>
      </c>
      <c r="G7" s="24" t="inlineStr">
        <is>
          <t>Bom</t>
        </is>
      </c>
      <c r="H7" s="24" t="inlineStr">
        <is>
          <t>Comunidade</t>
        </is>
      </c>
      <c r="I7" s="25" t="n">
        <v>10</v>
      </c>
      <c r="J7" s="26" t="inlineStr">
        <is>
          <t>Disponível</t>
        </is>
      </c>
      <c r="K7" s="24" t="inlineStr">
        <is>
          <t>Compra coletiva</t>
        </is>
      </c>
      <c r="L7" s="24" t="inlineStr"/>
    </row>
    <row r="8">
      <c r="A8" s="23" t="inlineStr">
        <is>
          <t>2026-01-21</t>
        </is>
      </c>
      <c r="B8" s="24" t="inlineStr">
        <is>
          <t>Copos de vidro</t>
        </is>
      </c>
      <c r="C8" s="24" t="inlineStr">
        <is>
          <t>Cozinha</t>
        </is>
      </c>
      <c r="D8" s="24" t="inlineStr">
        <is>
          <t>Americano, Nadir, caixa com 24 x 180ml</t>
        </is>
      </c>
      <c r="E8" s="24" t="n">
        <v>1</v>
      </c>
      <c r="F8" s="24" t="inlineStr">
        <is>
          <t>Cozinha comunitária</t>
        </is>
      </c>
      <c r="G8" s="24" t="inlineStr">
        <is>
          <t>Bom</t>
        </is>
      </c>
      <c r="H8" s="24" t="inlineStr">
        <is>
          <t>Comunidade</t>
        </is>
      </c>
      <c r="I8" s="25" t="n">
        <v>36</v>
      </c>
      <c r="J8" s="26" t="inlineStr">
        <is>
          <t>Disponível</t>
        </is>
      </c>
      <c r="K8" s="24" t="inlineStr">
        <is>
          <t>Compra coletiva</t>
        </is>
      </c>
      <c r="L8" s="24" t="inlineStr"/>
    </row>
    <row r="9">
      <c r="A9" s="23" t="inlineStr">
        <is>
          <t>2026-01-21</t>
        </is>
      </c>
      <c r="B9" s="24" t="inlineStr">
        <is>
          <t>Colher</t>
        </is>
      </c>
      <c r="C9" s="24" t="inlineStr">
        <is>
          <t>Cozinha</t>
        </is>
      </c>
      <c r="D9" s="24" t="inlineStr">
        <is>
          <t>Plástico preto</t>
        </is>
      </c>
      <c r="E9" s="24" t="n">
        <v>1</v>
      </c>
      <c r="F9" s="24" t="inlineStr">
        <is>
          <t>Cozinha comunitária</t>
        </is>
      </c>
      <c r="G9" s="24" t="inlineStr">
        <is>
          <t>Bom</t>
        </is>
      </c>
      <c r="H9" s="24" t="inlineStr">
        <is>
          <t>Comunidade</t>
        </is>
      </c>
      <c r="I9" s="25" t="n">
        <v>10</v>
      </c>
      <c r="J9" s="26" t="inlineStr">
        <is>
          <t>Disponível</t>
        </is>
      </c>
      <c r="K9" s="24" t="inlineStr">
        <is>
          <t>Compra coletiva</t>
        </is>
      </c>
      <c r="L9" s="24" t="inlineStr"/>
    </row>
    <row r="10">
      <c r="A10" s="23" t="inlineStr">
        <is>
          <t>2026-01-21</t>
        </is>
      </c>
      <c r="B10" s="24" t="inlineStr">
        <is>
          <t>Espátula</t>
        </is>
      </c>
      <c r="C10" s="24" t="inlineStr">
        <is>
          <t>Cozinha</t>
        </is>
      </c>
      <c r="D10" s="24" t="inlineStr">
        <is>
          <t>Plástico preto</t>
        </is>
      </c>
      <c r="E10" s="24" t="n">
        <v>1</v>
      </c>
      <c r="F10" s="24" t="inlineStr">
        <is>
          <t>Cozinha comunitária</t>
        </is>
      </c>
      <c r="G10" s="24" t="inlineStr">
        <is>
          <t>Bom</t>
        </is>
      </c>
      <c r="H10" s="24" t="inlineStr">
        <is>
          <t>Comunidade</t>
        </is>
      </c>
      <c r="I10" s="25" t="n">
        <v>10</v>
      </c>
      <c r="J10" s="26" t="inlineStr">
        <is>
          <t>Disponível</t>
        </is>
      </c>
      <c r="K10" s="24" t="inlineStr">
        <is>
          <t>Compra coletiva</t>
        </is>
      </c>
      <c r="L10" s="24" t="inlineStr"/>
    </row>
    <row r="11">
      <c r="A11" s="23" t="inlineStr">
        <is>
          <t>2026-01-21</t>
        </is>
      </c>
      <c r="B11" s="24" t="inlineStr">
        <is>
          <t>Tábua de corte</t>
        </is>
      </c>
      <c r="C11" s="24" t="inlineStr">
        <is>
          <t>Cozinha</t>
        </is>
      </c>
      <c r="D11" s="24" t="inlineStr">
        <is>
          <t>Plástico branco</t>
        </is>
      </c>
      <c r="E11" s="24" t="n">
        <v>1</v>
      </c>
      <c r="F11" s="24" t="inlineStr">
        <is>
          <t>Cozinha comunitária</t>
        </is>
      </c>
      <c r="G11" s="24" t="inlineStr">
        <is>
          <t>Bom</t>
        </is>
      </c>
      <c r="H11" s="24" t="inlineStr">
        <is>
          <t>Comunidade</t>
        </is>
      </c>
      <c r="I11" s="25" t="n">
        <v>26</v>
      </c>
      <c r="J11" s="26" t="inlineStr">
        <is>
          <t>Disponível</t>
        </is>
      </c>
      <c r="K11" s="24" t="inlineStr">
        <is>
          <t>Compra coletiva</t>
        </is>
      </c>
      <c r="L11" s="24" t="inlineStr"/>
    </row>
    <row r="12">
      <c r="A12" s="23" t="inlineStr">
        <is>
          <t>2026-01-21</t>
        </is>
      </c>
      <c r="B12" s="24" t="inlineStr">
        <is>
          <t>Cadeados com senha</t>
        </is>
      </c>
      <c r="C12" s="24" t="inlineStr">
        <is>
          <t>Infraestrutura</t>
        </is>
      </c>
      <c r="D12" s="24" t="inlineStr">
        <is>
          <t>Cadeados com senha numérica</t>
        </is>
      </c>
      <c r="E12" s="24" t="n">
        <v>1</v>
      </c>
      <c r="F12" s="24" t="inlineStr">
        <is>
          <t>Depósito</t>
        </is>
      </c>
      <c r="G12" s="24" t="inlineStr">
        <is>
          <t>Bom</t>
        </is>
      </c>
      <c r="H12" s="24" t="inlineStr">
        <is>
          <t>Noemi</t>
        </is>
      </c>
      <c r="I12" s="25" t="n">
        <v>20</v>
      </c>
      <c r="J12" s="26" t="inlineStr">
        <is>
          <t>Disponível</t>
        </is>
      </c>
      <c r="K12" s="24" t="inlineStr">
        <is>
          <t>Compra coletiva</t>
        </is>
      </c>
      <c r="L12" s="24" t="inlineStr"/>
    </row>
    <row r="13">
      <c r="A13" s="23" t="inlineStr">
        <is>
          <t>2026-01-21</t>
        </is>
      </c>
      <c r="B13" s="24" t="inlineStr">
        <is>
          <t>Cadeiras</t>
        </is>
      </c>
      <c r="C13" s="24" t="inlineStr">
        <is>
          <t>Cozinha</t>
        </is>
      </c>
      <c r="D13" s="24" t="inlineStr">
        <is>
          <t>Plástico Bistro Branca</t>
        </is>
      </c>
      <c r="E13" s="24" t="n">
        <v>28</v>
      </c>
      <c r="F13" s="24" t="inlineStr">
        <is>
          <t>Área coletiva</t>
        </is>
      </c>
      <c r="G13" s="24" t="inlineStr">
        <is>
          <t>Bom</t>
        </is>
      </c>
      <c r="H13" s="24" t="inlineStr">
        <is>
          <t>Comunidade</t>
        </is>
      </c>
      <c r="I13" s="25" t="n">
        <v>1260</v>
      </c>
      <c r="J13" s="26" t="inlineStr">
        <is>
          <t>Disponível</t>
        </is>
      </c>
      <c r="K13" s="24" t="inlineStr">
        <is>
          <t>Compra coletiva</t>
        </is>
      </c>
      <c r="L13" s="24" t="inlineStr"/>
    </row>
    <row r="14">
      <c r="A14" s="23" t="inlineStr">
        <is>
          <t>2026-01-21</t>
        </is>
      </c>
      <c r="B14" s="24" t="inlineStr">
        <is>
          <t>Coador de café</t>
        </is>
      </c>
      <c r="C14" s="24" t="inlineStr">
        <is>
          <t>Cozinha</t>
        </is>
      </c>
      <c r="D14" s="24" t="inlineStr">
        <is>
          <t>Coador nº 103</t>
        </is>
      </c>
      <c r="E14" s="24" t="n">
        <v>1</v>
      </c>
      <c r="F14" s="24" t="inlineStr">
        <is>
          <t>Cozinha comunitária</t>
        </is>
      </c>
      <c r="G14" s="24" t="inlineStr">
        <is>
          <t>Bom</t>
        </is>
      </c>
      <c r="H14" s="24" t="inlineStr">
        <is>
          <t>Comunidade</t>
        </is>
      </c>
      <c r="I14" s="25" t="n">
        <v>10</v>
      </c>
      <c r="J14" s="26" t="inlineStr">
        <is>
          <t>Disponível</t>
        </is>
      </c>
      <c r="K14" s="24" t="inlineStr">
        <is>
          <t>Compra coletiva</t>
        </is>
      </c>
      <c r="L14" s="24" t="inlineStr"/>
    </row>
    <row r="15">
      <c r="A15" s="23" t="inlineStr">
        <is>
          <t>2026-01-21</t>
        </is>
      </c>
      <c r="B15" s="24" t="inlineStr">
        <is>
          <t>Copos de acrílico</t>
        </is>
      </c>
      <c r="C15" s="24" t="inlineStr">
        <is>
          <t>Cozinha</t>
        </is>
      </c>
      <c r="D15" s="24" t="inlineStr">
        <is>
          <t>Caneca com alça</t>
        </is>
      </c>
      <c r="E15" s="24" t="n">
        <v>30</v>
      </c>
      <c r="F15" s="24" t="inlineStr">
        <is>
          <t>Cozinha comunitária</t>
        </is>
      </c>
      <c r="G15" s="24" t="inlineStr">
        <is>
          <t>Bom</t>
        </is>
      </c>
      <c r="H15" s="24" t="inlineStr">
        <is>
          <t>Comunidade</t>
        </is>
      </c>
      <c r="I15" s="25" t="n">
        <v>90</v>
      </c>
      <c r="J15" s="26" t="inlineStr">
        <is>
          <t>Disponível</t>
        </is>
      </c>
      <c r="K15" s="24" t="inlineStr">
        <is>
          <t>Compra coletiva</t>
        </is>
      </c>
      <c r="L15" s="24" t="inlineStr"/>
    </row>
    <row r="16">
      <c r="A16" s="23" t="inlineStr">
        <is>
          <t>2026-01-21</t>
        </is>
      </c>
      <c r="B16" s="24" t="inlineStr">
        <is>
          <t>Curcuzeira</t>
        </is>
      </c>
      <c r="C16" s="24" t="inlineStr">
        <is>
          <t>Cozinha</t>
        </is>
      </c>
      <c r="D16" s="24" t="inlineStr">
        <is>
          <t>Inox, média</t>
        </is>
      </c>
      <c r="E16" s="24" t="n">
        <v>1</v>
      </c>
      <c r="F16" s="24" t="inlineStr">
        <is>
          <t>Cozinha comunitária</t>
        </is>
      </c>
      <c r="G16" s="24" t="inlineStr">
        <is>
          <t>Bom</t>
        </is>
      </c>
      <c r="H16" s="24" t="inlineStr">
        <is>
          <t>Comunidade</t>
        </is>
      </c>
      <c r="I16" s="25" t="n">
        <v>90</v>
      </c>
      <c r="J16" s="26" t="inlineStr">
        <is>
          <t>Disponível</t>
        </is>
      </c>
      <c r="K16" s="24" t="inlineStr">
        <is>
          <t>Compra coletiva</t>
        </is>
      </c>
      <c r="L16" s="24" t="inlineStr"/>
    </row>
    <row r="17">
      <c r="A17" s="23" t="inlineStr">
        <is>
          <t>2026-01-21</t>
        </is>
      </c>
      <c r="B17" s="24" t="inlineStr">
        <is>
          <t>Garrafa térmica café</t>
        </is>
      </c>
      <c r="C17" s="24" t="inlineStr">
        <is>
          <t>Cozinha</t>
        </is>
      </c>
      <c r="D17" s="24" t="inlineStr">
        <is>
          <t>Pump</t>
        </is>
      </c>
      <c r="E17" s="24" t="n">
        <v>1</v>
      </c>
      <c r="F17" s="24" t="inlineStr">
        <is>
          <t>Cozinha comunitária</t>
        </is>
      </c>
      <c r="G17" s="24" t="inlineStr">
        <is>
          <t>Bom</t>
        </is>
      </c>
      <c r="H17" s="24" t="inlineStr">
        <is>
          <t>Comunidade</t>
        </is>
      </c>
      <c r="I17" s="25" t="n">
        <v>60</v>
      </c>
      <c r="J17" s="26" t="inlineStr">
        <is>
          <t>Disponível</t>
        </is>
      </c>
      <c r="K17" s="24" t="inlineStr">
        <is>
          <t>Compra coletiva</t>
        </is>
      </c>
      <c r="L17" s="24" t="inlineStr"/>
    </row>
    <row r="18">
      <c r="A18" s="23" t="inlineStr">
        <is>
          <t>2026-01-21</t>
        </is>
      </c>
      <c r="B18" s="24" t="inlineStr">
        <is>
          <t>Mesa branca</t>
        </is>
      </c>
      <c r="C18" s="24" t="inlineStr">
        <is>
          <t>Cozinha</t>
        </is>
      </c>
      <c r="D18" s="24" t="inlineStr">
        <is>
          <t>Plástico, 80x80, branca, desmontável</t>
        </is>
      </c>
      <c r="E18" s="24" t="n">
        <v>7</v>
      </c>
      <c r="F18" s="24" t="inlineStr">
        <is>
          <t>Área coletiva</t>
        </is>
      </c>
      <c r="G18" s="24" t="inlineStr">
        <is>
          <t>Bom</t>
        </is>
      </c>
      <c r="H18" s="24" t="inlineStr">
        <is>
          <t>Comunidade</t>
        </is>
      </c>
      <c r="I18" s="25" t="n">
        <v>840</v>
      </c>
      <c r="J18" s="26" t="inlineStr">
        <is>
          <t>Disponível</t>
        </is>
      </c>
      <c r="K18" s="24" t="inlineStr">
        <is>
          <t>Compra coletiva</t>
        </is>
      </c>
      <c r="L18" s="24" t="inlineStr"/>
    </row>
    <row r="19">
      <c r="A19" s="23" t="inlineStr">
        <is>
          <t>2026-01-21</t>
        </is>
      </c>
      <c r="B19" s="24" t="inlineStr">
        <is>
          <t>Pratos (2º lote)</t>
        </is>
      </c>
      <c r="C19" s="24" t="inlineStr">
        <is>
          <t>Cozinha</t>
        </is>
      </c>
      <c r="D19" s="24" t="inlineStr">
        <is>
          <t>Porcelana branca lisa</t>
        </is>
      </c>
      <c r="E19" s="24" t="n">
        <v>30</v>
      </c>
      <c r="F19" s="24" t="inlineStr">
        <is>
          <t>Cozinha comunitária</t>
        </is>
      </c>
      <c r="G19" s="24" t="inlineStr">
        <is>
          <t>Bom</t>
        </is>
      </c>
      <c r="H19" s="24" t="inlineStr">
        <is>
          <t>Comunidade</t>
        </is>
      </c>
      <c r="I19" s="25" t="n">
        <v>420</v>
      </c>
      <c r="J19" s="26" t="inlineStr">
        <is>
          <t>Disponível</t>
        </is>
      </c>
      <c r="K19" s="24" t="inlineStr">
        <is>
          <t>Compra coletiva</t>
        </is>
      </c>
      <c r="L19" s="24" t="inlineStr"/>
    </row>
    <row r="20">
      <c r="A20" s="23" t="inlineStr">
        <is>
          <t>2026-01-21</t>
        </is>
      </c>
      <c r="B20" s="24" t="inlineStr">
        <is>
          <t>Oxford</t>
        </is>
      </c>
      <c r="C20" s="24" t="inlineStr">
        <is>
          <t>Cozinha</t>
        </is>
      </c>
      <c r="D20" s="24" t="inlineStr">
        <is>
          <t>Itens de mesa oxford</t>
        </is>
      </c>
      <c r="E20" s="24" t="n">
        <v>10</v>
      </c>
      <c r="F20" s="24" t="inlineStr">
        <is>
          <t>Cozinha comunitária</t>
        </is>
      </c>
      <c r="G20" s="24" t="inlineStr">
        <is>
          <t>Bom</t>
        </is>
      </c>
      <c r="H20" s="24" t="inlineStr">
        <is>
          <t>Comunidade</t>
        </is>
      </c>
      <c r="I20" s="25" t="n">
        <v>150</v>
      </c>
      <c r="J20" s="26" t="inlineStr">
        <is>
          <t>Disponível</t>
        </is>
      </c>
      <c r="K20" s="24" t="inlineStr">
        <is>
          <t>Compra coletiva</t>
        </is>
      </c>
      <c r="L20" s="24" t="inlineStr"/>
    </row>
    <row r="21">
      <c r="A21" s="23" t="inlineStr">
        <is>
          <t>2025-12-15</t>
        </is>
      </c>
      <c r="B21" s="24" t="inlineStr">
        <is>
          <t>Assento sanitário</t>
        </is>
      </c>
      <c r="C21" s="24" t="inlineStr">
        <is>
          <t>Banheiro</t>
        </is>
      </c>
      <c r="D21" s="24" t="inlineStr">
        <is>
          <t>Branco</t>
        </is>
      </c>
      <c r="E21" s="24" t="n">
        <v>1</v>
      </c>
      <c r="F21" s="24" t="inlineStr">
        <is>
          <t>Banheiro coletivo</t>
        </is>
      </c>
      <c r="G21" s="24" t="inlineStr">
        <is>
          <t>Bom</t>
        </is>
      </c>
      <c r="H21" s="24" t="inlineStr">
        <is>
          <t>Noemi</t>
        </is>
      </c>
      <c r="I21" s="25" t="n">
        <v>0</v>
      </c>
      <c r="J21" s="26" t="inlineStr">
        <is>
          <t>Disponível</t>
        </is>
      </c>
      <c r="K21" s="24" t="inlineStr">
        <is>
          <t>Doação</t>
        </is>
      </c>
      <c r="L21" s="24" t="inlineStr"/>
    </row>
    <row r="22">
      <c r="A22" s="23" t="inlineStr">
        <is>
          <t>2025-12-15</t>
        </is>
      </c>
      <c r="B22" s="24" t="inlineStr">
        <is>
          <t>Assento sanitário</t>
        </is>
      </c>
      <c r="C22" s="24" t="inlineStr">
        <is>
          <t>Banheiro</t>
        </is>
      </c>
      <c r="D22" s="24" t="inlineStr">
        <is>
          <t>Cinza</t>
        </is>
      </c>
      <c r="E22" s="24" t="n">
        <v>2</v>
      </c>
      <c r="F22" s="24" t="inlineStr">
        <is>
          <t>Banheiro coletivo</t>
        </is>
      </c>
      <c r="G22" s="24" t="inlineStr">
        <is>
          <t>Bom</t>
        </is>
      </c>
      <c r="H22" s="24" t="inlineStr">
        <is>
          <t>Maira</t>
        </is>
      </c>
      <c r="I22" s="25" t="n">
        <v>0</v>
      </c>
      <c r="J22" s="26" t="inlineStr">
        <is>
          <t>Disponível</t>
        </is>
      </c>
      <c r="K22" s="24" t="inlineStr">
        <is>
          <t>Doação</t>
        </is>
      </c>
      <c r="L22" s="24" t="inlineStr"/>
    </row>
    <row r="23">
      <c r="A23" s="23" t="inlineStr">
        <is>
          <t>2025-11-20</t>
        </is>
      </c>
      <c r="B23" s="24" t="inlineStr">
        <is>
          <t>Faca de corte</t>
        </is>
      </c>
      <c r="C23" s="24" t="inlineStr">
        <is>
          <t>Cozinha</t>
        </is>
      </c>
      <c r="D23" s="24" t="inlineStr">
        <is>
          <t>Grande, tramontina, cabo preto</t>
        </is>
      </c>
      <c r="E23" s="24" t="n">
        <v>3</v>
      </c>
      <c r="F23" s="24" t="inlineStr">
        <is>
          <t>Cozinha comunitária</t>
        </is>
      </c>
      <c r="G23" s="24" t="inlineStr">
        <is>
          <t>Bom</t>
        </is>
      </c>
      <c r="H23" s="24" t="inlineStr">
        <is>
          <t>Maira</t>
        </is>
      </c>
      <c r="I23" s="25" t="n">
        <v>0</v>
      </c>
      <c r="J23" s="26" t="inlineStr">
        <is>
          <t>Disponível</t>
        </is>
      </c>
      <c r="K23" s="24" t="inlineStr">
        <is>
          <t>Doação</t>
        </is>
      </c>
      <c r="L23" s="24" t="inlineStr"/>
    </row>
    <row r="24">
      <c r="A24" s="23" t="inlineStr">
        <is>
          <t>2025-11-20</t>
        </is>
      </c>
      <c r="B24" s="24" t="inlineStr">
        <is>
          <t>Faca de pão</t>
        </is>
      </c>
      <c r="C24" s="24" t="inlineStr">
        <is>
          <t>Cozinha</t>
        </is>
      </c>
      <c r="D24" s="24" t="inlineStr">
        <is>
          <t>Grande, tramontina, cabo preto</t>
        </is>
      </c>
      <c r="E24" s="24" t="n">
        <v>1</v>
      </c>
      <c r="F24" s="24" t="inlineStr">
        <is>
          <t>Cozinha comunitária</t>
        </is>
      </c>
      <c r="G24" s="24" t="inlineStr">
        <is>
          <t>Bom</t>
        </is>
      </c>
      <c r="H24" s="24" t="inlineStr">
        <is>
          <t>Maira</t>
        </is>
      </c>
      <c r="I24" s="25" t="n">
        <v>0</v>
      </c>
      <c r="J24" s="26" t="inlineStr">
        <is>
          <t>Disponível</t>
        </is>
      </c>
      <c r="K24" s="24" t="inlineStr">
        <is>
          <t>Doação</t>
        </is>
      </c>
      <c r="L24" s="24" t="inlineStr"/>
    </row>
    <row r="25">
      <c r="A25" s="23" t="inlineStr">
        <is>
          <t>2025-11-20</t>
        </is>
      </c>
      <c r="B25" s="24" t="inlineStr">
        <is>
          <t>Colher de bambu</t>
        </is>
      </c>
      <c r="C25" s="24" t="inlineStr">
        <is>
          <t>Cozinha</t>
        </is>
      </c>
      <c r="D25" s="24" t="inlineStr">
        <is>
          <t>Cabo longo</t>
        </is>
      </c>
      <c r="E25" s="24" t="n">
        <v>2</v>
      </c>
      <c r="F25" s="24" t="inlineStr">
        <is>
          <t>Cozinha comunitária</t>
        </is>
      </c>
      <c r="G25" s="24" t="inlineStr">
        <is>
          <t>Bom</t>
        </is>
      </c>
      <c r="H25" s="24" t="inlineStr">
        <is>
          <t>Maira</t>
        </is>
      </c>
      <c r="I25" s="25" t="n">
        <v>0</v>
      </c>
      <c r="J25" s="26" t="inlineStr">
        <is>
          <t>Disponível</t>
        </is>
      </c>
      <c r="K25" s="24" t="inlineStr">
        <is>
          <t>Doação</t>
        </is>
      </c>
      <c r="L25" s="24" t="inlineStr"/>
    </row>
    <row r="26">
      <c r="A26" s="23" t="inlineStr">
        <is>
          <t>2025-11-20</t>
        </is>
      </c>
      <c r="B26" s="24" t="inlineStr">
        <is>
          <t>Descascador de legumes</t>
        </is>
      </c>
      <c r="C26" s="24" t="inlineStr">
        <is>
          <t>Cozinha</t>
        </is>
      </c>
      <c r="D26" s="24" t="inlineStr">
        <is>
          <t>Plástico, laranja e verde</t>
        </is>
      </c>
      <c r="E26" s="24" t="n">
        <v>2</v>
      </c>
      <c r="F26" s="24" t="inlineStr">
        <is>
          <t>Cozinha comunitária</t>
        </is>
      </c>
      <c r="G26" s="24" t="inlineStr">
        <is>
          <t>Bom</t>
        </is>
      </c>
      <c r="H26" s="24" t="inlineStr">
        <is>
          <t>Maira</t>
        </is>
      </c>
      <c r="I26" s="25" t="n">
        <v>0</v>
      </c>
      <c r="J26" s="26" t="inlineStr">
        <is>
          <t>Disponível</t>
        </is>
      </c>
      <c r="K26" s="24" t="inlineStr">
        <is>
          <t>Doação</t>
        </is>
      </c>
      <c r="L26" s="24" t="inlineStr"/>
    </row>
    <row r="27">
      <c r="A27" s="23" t="inlineStr">
        <is>
          <t>2025-11-20</t>
        </is>
      </c>
      <c r="B27" s="24" t="inlineStr">
        <is>
          <t>Escorredor de prato</t>
        </is>
      </c>
      <c r="C27" s="24" t="inlineStr">
        <is>
          <t>Cozinha</t>
        </is>
      </c>
      <c r="D27" s="24" t="inlineStr">
        <is>
          <t>Inox, grande</t>
        </is>
      </c>
      <c r="E27" s="24" t="n">
        <v>1</v>
      </c>
      <c r="F27" s="24" t="inlineStr">
        <is>
          <t>Cozinha comunitária</t>
        </is>
      </c>
      <c r="G27" s="24" t="inlineStr">
        <is>
          <t>Bom</t>
        </is>
      </c>
      <c r="H27" s="24" t="inlineStr">
        <is>
          <t>Ivyh</t>
        </is>
      </c>
      <c r="I27" s="25" t="n">
        <v>0</v>
      </c>
      <c r="J27" s="26" t="inlineStr">
        <is>
          <t>Disponível</t>
        </is>
      </c>
      <c r="K27" s="24" t="inlineStr">
        <is>
          <t>Doação</t>
        </is>
      </c>
      <c r="L27" s="24" t="inlineStr"/>
    </row>
    <row r="28">
      <c r="A28" s="23" t="inlineStr">
        <is>
          <t>2025-11-20</t>
        </is>
      </c>
      <c r="B28" s="24" t="inlineStr">
        <is>
          <t>Colher de sorvete</t>
        </is>
      </c>
      <c r="C28" s="24" t="inlineStr">
        <is>
          <t>Cozinha</t>
        </is>
      </c>
      <c r="D28" s="24" t="inlineStr">
        <is>
          <t>Plástico vermelho e acrílico</t>
        </is>
      </c>
      <c r="E28" s="24" t="n">
        <v>1</v>
      </c>
      <c r="F28" s="24" t="inlineStr">
        <is>
          <t>Cozinha comunitária</t>
        </is>
      </c>
      <c r="G28" s="24" t="inlineStr">
        <is>
          <t>Bom</t>
        </is>
      </c>
      <c r="H28" s="24" t="inlineStr">
        <is>
          <t>Maira</t>
        </is>
      </c>
      <c r="I28" s="25" t="n">
        <v>0</v>
      </c>
      <c r="J28" s="26" t="inlineStr">
        <is>
          <t>Disponível</t>
        </is>
      </c>
      <c r="K28" s="24" t="inlineStr">
        <is>
          <t>Doação</t>
        </is>
      </c>
      <c r="L28" s="24" t="inlineStr"/>
    </row>
    <row r="29">
      <c r="A29" s="23" t="inlineStr">
        <is>
          <t>2025-11-20</t>
        </is>
      </c>
      <c r="B29" s="24" t="inlineStr">
        <is>
          <t>Saca rolhas e abridor</t>
        </is>
      </c>
      <c r="C29" s="24" t="inlineStr">
        <is>
          <t>Cozinha</t>
        </is>
      </c>
      <c r="D29" s="24" t="inlineStr">
        <is>
          <t>Inox</t>
        </is>
      </c>
      <c r="E29" s="24" t="n">
        <v>1</v>
      </c>
      <c r="F29" s="24" t="inlineStr">
        <is>
          <t>Cozinha comunitária</t>
        </is>
      </c>
      <c r="G29" s="24" t="inlineStr">
        <is>
          <t>Bom</t>
        </is>
      </c>
      <c r="H29" s="24" t="inlineStr">
        <is>
          <t>Maira</t>
        </is>
      </c>
      <c r="I29" s="25" t="n">
        <v>0</v>
      </c>
      <c r="J29" s="26" t="inlineStr">
        <is>
          <t>Disponível</t>
        </is>
      </c>
      <c r="K29" s="24" t="inlineStr">
        <is>
          <t>Doação</t>
        </is>
      </c>
      <c r="L29" s="24" t="inlineStr"/>
    </row>
    <row r="30">
      <c r="A30" s="23" t="inlineStr">
        <is>
          <t>2025-11-20</t>
        </is>
      </c>
      <c r="B30" s="24" t="inlineStr">
        <is>
          <t>Fatiador de queijo</t>
        </is>
      </c>
      <c r="C30" s="24" t="inlineStr">
        <is>
          <t>Cozinha</t>
        </is>
      </c>
      <c r="D30" s="24" t="inlineStr">
        <is>
          <t>Inox</t>
        </is>
      </c>
      <c r="E30" s="24" t="n">
        <v>1</v>
      </c>
      <c r="F30" s="24" t="inlineStr">
        <is>
          <t>Cozinha comunitária</t>
        </is>
      </c>
      <c r="G30" s="24" t="inlineStr">
        <is>
          <t>Bom</t>
        </is>
      </c>
      <c r="H30" s="24" t="inlineStr">
        <is>
          <t>Maira</t>
        </is>
      </c>
      <c r="I30" s="25" t="n">
        <v>0</v>
      </c>
      <c r="J30" s="26" t="inlineStr">
        <is>
          <t>Disponível</t>
        </is>
      </c>
      <c r="K30" s="24" t="inlineStr">
        <is>
          <t>Doação</t>
        </is>
      </c>
      <c r="L30" s="24" t="inlineStr"/>
    </row>
    <row r="31">
      <c r="A31" s="23" t="inlineStr">
        <is>
          <t>2025-11-20</t>
        </is>
      </c>
      <c r="B31" s="24" t="inlineStr">
        <is>
          <t>Pegador de macarrão/salada</t>
        </is>
      </c>
      <c r="C31" s="24" t="inlineStr">
        <is>
          <t>Cozinha</t>
        </is>
      </c>
      <c r="D31" s="24" t="inlineStr">
        <is>
          <t>Inox</t>
        </is>
      </c>
      <c r="E31" s="24" t="n">
        <v>1</v>
      </c>
      <c r="F31" s="24" t="inlineStr">
        <is>
          <t>Cozinha comunitária</t>
        </is>
      </c>
      <c r="G31" s="24" t="inlineStr">
        <is>
          <t>Bom</t>
        </is>
      </c>
      <c r="H31" s="24" t="inlineStr">
        <is>
          <t>Desconhecido</t>
        </is>
      </c>
      <c r="I31" s="25" t="n">
        <v>0</v>
      </c>
      <c r="J31" s="26" t="inlineStr">
        <is>
          <t>Disponível</t>
        </is>
      </c>
      <c r="K31" s="24" t="inlineStr">
        <is>
          <t>Doação</t>
        </is>
      </c>
      <c r="L31" s="24" t="inlineStr"/>
    </row>
    <row r="32">
      <c r="A32" s="23" t="inlineStr">
        <is>
          <t>2025-10-10</t>
        </is>
      </c>
      <c r="B32" s="24" t="inlineStr">
        <is>
          <t>Fogão a gás 4 bocas</t>
        </is>
      </c>
      <c r="C32" s="24" t="inlineStr">
        <is>
          <t>Cozinha</t>
        </is>
      </c>
      <c r="D32" s="24" t="inlineStr">
        <is>
          <t>Branco</t>
        </is>
      </c>
      <c r="E32" s="24" t="n">
        <v>1</v>
      </c>
      <c r="F32" s="24" t="inlineStr">
        <is>
          <t>Cozinha comunitária</t>
        </is>
      </c>
      <c r="G32" s="24" t="inlineStr">
        <is>
          <t>Bom</t>
        </is>
      </c>
      <c r="H32" s="24" t="inlineStr">
        <is>
          <t>Patric/Floriano</t>
        </is>
      </c>
      <c r="I32" s="25" t="n">
        <v>0</v>
      </c>
      <c r="J32" s="27" t="inlineStr">
        <is>
          <t>Em uso</t>
        </is>
      </c>
      <c r="K32" s="24" t="inlineStr">
        <is>
          <t>Doação</t>
        </is>
      </c>
      <c r="L32" s="24" t="inlineStr"/>
    </row>
    <row r="33">
      <c r="A33" s="23" t="inlineStr">
        <is>
          <t>2025-12-15</t>
        </is>
      </c>
      <c r="B33" s="24" t="inlineStr">
        <is>
          <t>Espetos e grelhas</t>
        </is>
      </c>
      <c r="C33" s="24" t="inlineStr">
        <is>
          <t>Cozinha</t>
        </is>
      </c>
      <c r="D33" s="24" t="inlineStr">
        <is>
          <t>Usados</t>
        </is>
      </c>
      <c r="E33" s="24" t="n">
        <v>5</v>
      </c>
      <c r="F33" s="24" t="inlineStr">
        <is>
          <t>Churrasqueira</t>
        </is>
      </c>
      <c r="G33" s="24" t="inlineStr">
        <is>
          <t>Regular</t>
        </is>
      </c>
      <c r="H33" s="24" t="inlineStr">
        <is>
          <t>Noemi</t>
        </is>
      </c>
      <c r="I33" s="25" t="n">
        <v>0</v>
      </c>
      <c r="J33" s="26" t="inlineStr">
        <is>
          <t>Disponível</t>
        </is>
      </c>
      <c r="K33" s="24" t="inlineStr">
        <is>
          <t>Doação</t>
        </is>
      </c>
      <c r="L33" s="24" t="inlineStr"/>
    </row>
    <row r="34">
      <c r="A34" s="23" t="inlineStr">
        <is>
          <t>2025-12-15</t>
        </is>
      </c>
      <c r="B34" s="24" t="inlineStr">
        <is>
          <t>Jarra para água e suco</t>
        </is>
      </c>
      <c r="C34" s="24" t="inlineStr">
        <is>
          <t>Cozinha</t>
        </is>
      </c>
      <c r="D34" s="24" t="inlineStr">
        <is>
          <t>Acrílico</t>
        </is>
      </c>
      <c r="E34" s="24" t="n">
        <v>1</v>
      </c>
      <c r="F34" s="24" t="inlineStr">
        <is>
          <t>Cozinha comunitária</t>
        </is>
      </c>
      <c r="G34" s="24" t="inlineStr">
        <is>
          <t>Bom</t>
        </is>
      </c>
      <c r="H34" s="24" t="inlineStr">
        <is>
          <t>Noemi</t>
        </is>
      </c>
      <c r="I34" s="25" t="n">
        <v>0</v>
      </c>
      <c r="J34" s="26" t="inlineStr">
        <is>
          <t>Disponível</t>
        </is>
      </c>
      <c r="K34" s="24" t="inlineStr">
        <is>
          <t>Doação</t>
        </is>
      </c>
      <c r="L34" s="24" t="inlineStr"/>
    </row>
    <row r="35">
      <c r="A35" s="23" t="inlineStr">
        <is>
          <t>2025-12-15</t>
        </is>
      </c>
      <c r="B35" s="24" t="inlineStr">
        <is>
          <t>Cadeados com chave</t>
        </is>
      </c>
      <c r="C35" s="24" t="inlineStr">
        <is>
          <t>Infraestrutura</t>
        </is>
      </c>
      <c r="D35" s="24" t="inlineStr">
        <is>
          <t>1 segredo e 5 chaves</t>
        </is>
      </c>
      <c r="E35" s="24" t="n">
        <v>5</v>
      </c>
      <c r="F35" s="24" t="inlineStr">
        <is>
          <t>Depósito</t>
        </is>
      </c>
      <c r="G35" s="24" t="inlineStr">
        <is>
          <t>Bom</t>
        </is>
      </c>
      <c r="H35" s="24" t="inlineStr">
        <is>
          <t>Noemi</t>
        </is>
      </c>
      <c r="I35" s="25" t="n">
        <v>0</v>
      </c>
      <c r="J35" s="26" t="inlineStr">
        <is>
          <t>Disponível</t>
        </is>
      </c>
      <c r="K35" s="24" t="inlineStr">
        <is>
          <t>Doação</t>
        </is>
      </c>
      <c r="L35" s="24" t="inlineStr"/>
    </row>
    <row r="36">
      <c r="A36" s="23" t="inlineStr">
        <is>
          <t>2025-12-15</t>
        </is>
      </c>
      <c r="B36" s="24" t="inlineStr">
        <is>
          <t>Leiteira</t>
        </is>
      </c>
      <c r="C36" s="24" t="inlineStr">
        <is>
          <t>Cozinha</t>
        </is>
      </c>
      <c r="D36" s="24" t="inlineStr">
        <is>
          <t>Alumínio, média</t>
        </is>
      </c>
      <c r="E36" s="24" t="n">
        <v>1</v>
      </c>
      <c r="F36" s="24" t="inlineStr">
        <is>
          <t>Cozinha comunitária</t>
        </is>
      </c>
      <c r="G36" s="24" t="inlineStr">
        <is>
          <t>Bom</t>
        </is>
      </c>
      <c r="H36" s="24" t="inlineStr">
        <is>
          <t>Noemi</t>
        </is>
      </c>
      <c r="I36" s="25" t="n">
        <v>0</v>
      </c>
      <c r="J36" s="26" t="inlineStr">
        <is>
          <t>Disponível</t>
        </is>
      </c>
      <c r="K36" s="24" t="inlineStr">
        <is>
          <t>Doação</t>
        </is>
      </c>
      <c r="L36" s="24" t="inlineStr"/>
    </row>
    <row r="37">
      <c r="A37" s="23" t="inlineStr">
        <is>
          <t>2025-12-15</t>
        </is>
      </c>
      <c r="B37" s="24" t="inlineStr">
        <is>
          <t>Leiteira</t>
        </is>
      </c>
      <c r="C37" s="24" t="inlineStr">
        <is>
          <t>Cozinha</t>
        </is>
      </c>
      <c r="D37" s="24" t="inlineStr">
        <is>
          <t>Inox, média</t>
        </is>
      </c>
      <c r="E37" s="24" t="n">
        <v>1</v>
      </c>
      <c r="F37" s="24" t="inlineStr">
        <is>
          <t>Cozinha comunitária</t>
        </is>
      </c>
      <c r="G37" s="24" t="inlineStr">
        <is>
          <t>Bom</t>
        </is>
      </c>
      <c r="H37" s="24" t="inlineStr">
        <is>
          <t>Noemi</t>
        </is>
      </c>
      <c r="I37" s="25" t="n">
        <v>0</v>
      </c>
      <c r="J37" s="26" t="inlineStr">
        <is>
          <t>Disponível</t>
        </is>
      </c>
      <c r="K37" s="24" t="inlineStr">
        <is>
          <t>Doação</t>
        </is>
      </c>
      <c r="L37" s="24" t="inlineStr"/>
    </row>
    <row r="38">
      <c r="A38" s="23" t="inlineStr">
        <is>
          <t>2025-12-15</t>
        </is>
      </c>
      <c r="B38" s="24" t="inlineStr">
        <is>
          <t>Caixa plástica</t>
        </is>
      </c>
      <c r="C38" s="24" t="inlineStr">
        <is>
          <t>Infraestrutura</t>
        </is>
      </c>
      <c r="D38" s="24" t="inlineStr">
        <is>
          <t>Transparente, média, sem tampa</t>
        </is>
      </c>
      <c r="E38" s="24" t="n">
        <v>1</v>
      </c>
      <c r="F38" s="24" t="inlineStr">
        <is>
          <t>Depósito</t>
        </is>
      </c>
      <c r="G38" s="24" t="inlineStr">
        <is>
          <t>Bom</t>
        </is>
      </c>
      <c r="H38" s="24" t="inlineStr">
        <is>
          <t>Noemi</t>
        </is>
      </c>
      <c r="I38" s="25" t="n">
        <v>0</v>
      </c>
      <c r="J38" s="26" t="inlineStr">
        <is>
          <t>Disponível</t>
        </is>
      </c>
      <c r="K38" s="24" t="inlineStr">
        <is>
          <t>Doação</t>
        </is>
      </c>
      <c r="L38" s="24" t="inlineStr"/>
    </row>
    <row r="39">
      <c r="A39" s="23" t="inlineStr">
        <is>
          <t>2025-12-15</t>
        </is>
      </c>
      <c r="B39" s="24" t="inlineStr">
        <is>
          <t>Ralador de legumes</t>
        </is>
      </c>
      <c r="C39" s="24" t="inlineStr">
        <is>
          <t>Cozinha</t>
        </is>
      </c>
      <c r="D39" s="24" t="inlineStr">
        <is>
          <t>Vermelho</t>
        </is>
      </c>
      <c r="E39" s="24" t="n">
        <v>1</v>
      </c>
      <c r="F39" s="24" t="inlineStr">
        <is>
          <t>Cozinha comunitária</t>
        </is>
      </c>
      <c r="G39" s="24" t="inlineStr">
        <is>
          <t>Bom</t>
        </is>
      </c>
      <c r="H39" s="24" t="inlineStr">
        <is>
          <t>Noemi</t>
        </is>
      </c>
      <c r="I39" s="25" t="n">
        <v>0</v>
      </c>
      <c r="J39" s="26" t="inlineStr">
        <is>
          <t>Disponível</t>
        </is>
      </c>
      <c r="K39" s="24" t="inlineStr">
        <is>
          <t>Doação</t>
        </is>
      </c>
      <c r="L39" s="24" t="inlineStr"/>
    </row>
    <row r="40">
      <c r="A40" s="23" t="inlineStr">
        <is>
          <t>2025-12-15</t>
        </is>
      </c>
      <c r="B40" s="24" t="inlineStr">
        <is>
          <t>Cadeados com chave</t>
        </is>
      </c>
      <c r="C40" s="24" t="inlineStr">
        <is>
          <t>Infraestrutura</t>
        </is>
      </c>
      <c r="D40" s="24" t="inlineStr">
        <is>
          <t>Cadeados com chave</t>
        </is>
      </c>
      <c r="E40" s="24" t="n">
        <v>2</v>
      </c>
      <c r="F40" s="24" t="inlineStr">
        <is>
          <t>Depósito</t>
        </is>
      </c>
      <c r="G40" s="24" t="inlineStr">
        <is>
          <t>Bom</t>
        </is>
      </c>
      <c r="H40" s="24" t="inlineStr">
        <is>
          <t>Ivyh</t>
        </is>
      </c>
      <c r="I40" s="25" t="n">
        <v>0</v>
      </c>
      <c r="J40" s="26" t="inlineStr">
        <is>
          <t>Disponível</t>
        </is>
      </c>
      <c r="K40" s="24" t="inlineStr">
        <is>
          <t>Doação</t>
        </is>
      </c>
      <c r="L40" s="24" t="inlineStr"/>
    </row>
    <row r="41">
      <c r="A41" s="23" t="inlineStr">
        <is>
          <t>2025-09-01</t>
        </is>
      </c>
      <c r="B41" s="24" t="inlineStr">
        <is>
          <t>Caixa de isopor</t>
        </is>
      </c>
      <c r="C41" s="24" t="inlineStr">
        <is>
          <t>Lazer</t>
        </is>
      </c>
      <c r="D41" s="24" t="inlineStr">
        <is>
          <t>Grande</t>
        </is>
      </c>
      <c r="E41" s="24" t="n">
        <v>1</v>
      </c>
      <c r="F41" s="24" t="inlineStr">
        <is>
          <t>Área de lazer</t>
        </is>
      </c>
      <c r="G41" s="24" t="inlineStr">
        <is>
          <t>Bom</t>
        </is>
      </c>
      <c r="H41" s="24" t="inlineStr">
        <is>
          <t>Anibal</t>
        </is>
      </c>
      <c r="I41" s="25" t="n">
        <v>0</v>
      </c>
      <c r="J41" s="26" t="inlineStr">
        <is>
          <t>Disponível</t>
        </is>
      </c>
      <c r="K41" s="24" t="inlineStr">
        <is>
          <t>Doação</t>
        </is>
      </c>
      <c r="L41" s="24" t="inlineStr"/>
    </row>
    <row r="42">
      <c r="A42" s="23" t="inlineStr">
        <is>
          <t>2025-09-01</t>
        </is>
      </c>
      <c r="B42" s="24" t="inlineStr">
        <is>
          <t>Varal</t>
        </is>
      </c>
      <c r="C42" s="24" t="inlineStr">
        <is>
          <t>Lazer</t>
        </is>
      </c>
      <c r="D42" s="24" t="inlineStr">
        <is>
          <t>Grande</t>
        </is>
      </c>
      <c r="E42" s="24" t="n">
        <v>1</v>
      </c>
      <c r="F42" s="24" t="inlineStr">
        <is>
          <t>Área de lazer</t>
        </is>
      </c>
      <c r="G42" s="24" t="inlineStr">
        <is>
          <t>Bom</t>
        </is>
      </c>
      <c r="H42" s="24" t="inlineStr">
        <is>
          <t>Adriano</t>
        </is>
      </c>
      <c r="I42" s="25" t="n">
        <v>0</v>
      </c>
      <c r="J42" s="26" t="inlineStr">
        <is>
          <t>Disponível</t>
        </is>
      </c>
      <c r="K42" s="24" t="inlineStr">
        <is>
          <t>Doação</t>
        </is>
      </c>
      <c r="L42" s="24" t="inlineStr"/>
    </row>
    <row r="43">
      <c r="A43" s="23" t="inlineStr">
        <is>
          <t>2025-11-20</t>
        </is>
      </c>
      <c r="B43" s="24" t="inlineStr">
        <is>
          <t>Macarrão de isopor</t>
        </is>
      </c>
      <c r="C43" s="24" t="inlineStr">
        <is>
          <t>Lazer</t>
        </is>
      </c>
      <c r="D43" s="24" t="inlineStr">
        <is>
          <t>Azul</t>
        </is>
      </c>
      <c r="E43" s="24" t="n">
        <v>2</v>
      </c>
      <c r="F43" s="24" t="inlineStr">
        <is>
          <t>Área de lazer</t>
        </is>
      </c>
      <c r="G43" s="24" t="inlineStr">
        <is>
          <t>Bom</t>
        </is>
      </c>
      <c r="H43" s="24" t="inlineStr">
        <is>
          <t>Maira</t>
        </is>
      </c>
      <c r="I43" s="25" t="n">
        <v>0</v>
      </c>
      <c r="J43" s="26" t="inlineStr">
        <is>
          <t>Disponível</t>
        </is>
      </c>
      <c r="K43" s="24" t="inlineStr">
        <is>
          <t>Doação</t>
        </is>
      </c>
      <c r="L43" s="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5E8D4"/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28" t="inlineStr">
        <is>
          <t>CATEGORIAS DO ACERVO</t>
        </is>
      </c>
    </row>
    <row r="2">
      <c r="A2" s="29" t="n"/>
    </row>
    <row r="3">
      <c r="A3" s="29" t="inlineStr">
        <is>
          <t>Cozinha</t>
        </is>
      </c>
    </row>
    <row r="4">
      <c r="A4" s="29" t="inlineStr">
        <is>
          <t>Banheiro</t>
        </is>
      </c>
    </row>
    <row r="5">
      <c r="A5" s="29" t="inlineStr">
        <is>
          <t>Lazer</t>
        </is>
      </c>
    </row>
    <row r="6">
      <c r="A6" s="29" t="inlineStr">
        <is>
          <t>Infraestrutura</t>
        </is>
      </c>
    </row>
    <row r="7">
      <c r="A7" s="29" t="inlineStr">
        <is>
          <t>Ferramentas</t>
        </is>
      </c>
    </row>
    <row r="8">
      <c r="A8" s="29" t="inlineStr">
        <is>
          <t>Eletrônicos</t>
        </is>
      </c>
    </row>
    <row r="9">
      <c r="A9" s="29" t="inlineStr">
        <is>
          <t>Saúde</t>
        </is>
      </c>
    </row>
    <row r="10">
      <c r="A10" s="29" t="inlineStr">
        <is>
          <t>Mobília</t>
        </is>
      </c>
    </row>
    <row r="11">
      <c r="A11" s="29" t="inlineStr">
        <is>
          <t>Outros</t>
        </is>
      </c>
    </row>
    <row r="12">
      <c r="A12" s="29" t="n"/>
    </row>
    <row r="13">
      <c r="A13" s="28" t="inlineStr">
        <is>
          <t>STATUS POSSÍVEIS</t>
        </is>
      </c>
    </row>
    <row r="14">
      <c r="A14" s="29" t="inlineStr">
        <is>
          <t>Bom</t>
        </is>
      </c>
    </row>
    <row r="15">
      <c r="A15" s="29" t="inlineStr">
        <is>
          <t>Regular</t>
        </is>
      </c>
    </row>
    <row r="16">
      <c r="A16" s="29" t="inlineStr">
        <is>
          <t>Precisa de reparo</t>
        </is>
      </c>
    </row>
    <row r="17">
      <c r="A17" s="29" t="inlineStr">
        <is>
          <t>Em manutenção</t>
        </is>
      </c>
    </row>
    <row r="18">
      <c r="A18" s="29" t="inlineStr">
        <is>
          <t>Descarte</t>
        </is>
      </c>
    </row>
    <row r="19">
      <c r="A19" s="29" t="n"/>
    </row>
    <row r="20">
      <c r="A20" s="28" t="inlineStr">
        <is>
          <t>DISPONIBILIDADE</t>
        </is>
      </c>
    </row>
    <row r="21">
      <c r="A21" s="29" t="inlineStr">
        <is>
          <t>Disponível</t>
        </is>
      </c>
    </row>
    <row r="22">
      <c r="A22" s="29" t="inlineStr">
        <is>
          <t>Em uso</t>
        </is>
      </c>
    </row>
    <row r="23">
      <c r="A23" s="29" t="inlineStr">
        <is>
          <t>Emprestado</t>
        </is>
      </c>
    </row>
    <row r="24">
      <c r="A24" s="29" t="inlineStr">
        <is>
          <t>Reservado</t>
        </is>
      </c>
    </row>
    <row r="25">
      <c r="A25" s="29" t="inlineStr">
        <is>
          <t>Indisponível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8C9A1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30" t="inlineStr">
        <is>
          <t>📦 CANAÃ COMODIDADES — ACERVO COMUNITÁRIO</t>
        </is>
      </c>
    </row>
    <row r="2">
      <c r="A2" s="31" t="inlineStr">
        <is>
          <t>Inventário público atualizado em: 11/05/2026</t>
        </is>
      </c>
    </row>
    <row r="3"/>
    <row r="4">
      <c r="A4" s="32" t="inlineStr">
        <is>
          <t>TOTAL DE ITENS</t>
        </is>
      </c>
      <c r="B4" s="32" t="n"/>
      <c r="C4" s="32" t="inlineStr">
        <is>
          <t>VALOR ESTIMADO DO ACERVO</t>
        </is>
      </c>
      <c r="D4" s="32" t="n"/>
      <c r="E4" s="32" t="inlineStr">
        <is>
          <t>ITENS DISPONÍVEIS</t>
        </is>
      </c>
      <c r="F4" s="32" t="n"/>
      <c r="G4" s="32" t="inlineStr">
        <is>
          <t>ITENS EM USO</t>
        </is>
      </c>
    </row>
    <row r="5" ht="35" customHeight="1">
      <c r="A5" s="33">
        <f>COUNTA(Cadastro!B:B)-1</f>
        <v/>
      </c>
      <c r="B5" s="32" t="n"/>
      <c r="C5" s="34">
        <f>SUM(Cadastro!I:I)</f>
        <v/>
      </c>
      <c r="D5" s="32" t="n"/>
      <c r="E5" s="33">
        <f>COUNTIF(Cadastro!J:J,"Disponível")</f>
        <v/>
      </c>
      <c r="F5" s="32" t="n"/>
      <c r="G5" s="33">
        <f>COUNTIF(Cadastro!J:J,"Em uso")</f>
        <v/>
      </c>
    </row>
    <row r="6">
      <c r="A6" s="35" t="inlineStr">
        <is>
          <t>DISTRIBUIÇÃO POR CATEGORIA</t>
        </is>
      </c>
    </row>
    <row r="7">
      <c r="A7" s="36" t="inlineStr">
        <is>
          <t>Categoria</t>
        </is>
      </c>
      <c r="B7" s="36" t="inlineStr">
        <is>
          <t>Quantidade</t>
        </is>
      </c>
      <c r="C7" s="36" t="inlineStr">
        <is>
          <t>Valor Estimado</t>
        </is>
      </c>
    </row>
    <row r="8">
      <c r="A8" s="37" t="inlineStr">
        <is>
          <t>Cozinha</t>
        </is>
      </c>
      <c r="B8" s="37">
        <f>COUNTIF(Cadastro!C:C,"Cozinha")</f>
        <v/>
      </c>
      <c r="C8" s="38">
        <f>SUMIF(Cadastro!C:C,"Cozinha",Cadastro!I:I)</f>
        <v/>
      </c>
    </row>
    <row r="9">
      <c r="A9" s="36" t="inlineStr">
        <is>
          <t>Banheiro</t>
        </is>
      </c>
      <c r="B9" s="36">
        <f>COUNTIF(Cadastro!C:C,"Banheiro")</f>
        <v/>
      </c>
      <c r="C9" s="39">
        <f>SUMIF(Cadastro!C:C,"Banheiro",Cadastro!I:I)</f>
        <v/>
      </c>
    </row>
    <row r="10">
      <c r="A10" s="37" t="inlineStr">
        <is>
          <t>Lazer</t>
        </is>
      </c>
      <c r="B10" s="37">
        <f>COUNTIF(Cadastro!C:C,"Lazer")</f>
        <v/>
      </c>
      <c r="C10" s="38">
        <f>SUMIF(Cadastro!C:C,"Lazer",Cadastro!I:I)</f>
        <v/>
      </c>
    </row>
    <row r="11">
      <c r="A11" s="36" t="inlineStr">
        <is>
          <t>Infraestrutura</t>
        </is>
      </c>
      <c r="B11" s="36">
        <f>COUNTIF(Cadastro!C:C,"Infraestrutura")</f>
        <v/>
      </c>
      <c r="C11" s="39">
        <f>SUMIF(Cadastro!C:C,"Infraestrutura",Cadastro!I:I)</f>
        <v/>
      </c>
    </row>
    <row r="12">
      <c r="A12" s="37" t="inlineStr">
        <is>
          <t>Ferramentas</t>
        </is>
      </c>
      <c r="B12" s="37">
        <f>COUNTIF(Cadastro!C:C,"Ferramentas")</f>
        <v/>
      </c>
      <c r="C12" s="38">
        <f>SUMIF(Cadastro!C:C,"Ferramentas",Cadastro!I:I)</f>
        <v/>
      </c>
    </row>
    <row r="13">
      <c r="A13" s="36" t="inlineStr">
        <is>
          <t>Eletrônicos</t>
        </is>
      </c>
      <c r="B13" s="36">
        <f>COUNTIF(Cadastro!C:C,"Eletrônicos")</f>
        <v/>
      </c>
      <c r="C13" s="39">
        <f>SUMIF(Cadastro!C:C,"Eletrônicos",Cadastro!I:I)</f>
        <v/>
      </c>
    </row>
    <row r="14">
      <c r="A14" s="37" t="inlineStr">
        <is>
          <t>Saúde</t>
        </is>
      </c>
      <c r="B14" s="37">
        <f>COUNTIF(Cadastro!C:C,"Saúde")</f>
        <v/>
      </c>
      <c r="C14" s="38">
        <f>SUMIF(Cadastro!C:C,"Saúde",Cadastro!I:I)</f>
        <v/>
      </c>
    </row>
    <row r="15">
      <c r="A15" s="36" t="inlineStr">
        <is>
          <t>Mobília</t>
        </is>
      </c>
      <c r="B15" s="36">
        <f>COUNTIF(Cadastro!C:C,"Mobília")</f>
        <v/>
      </c>
      <c r="C15" s="39">
        <f>SUMIF(Cadastro!C:C,"Mobília",Cadastro!I:I)</f>
        <v/>
      </c>
    </row>
    <row r="16">
      <c r="A16" s="37" t="inlineStr">
        <is>
          <t>TOTAL</t>
        </is>
      </c>
      <c r="B16" s="37">
        <f>SUM(B8:B15)</f>
        <v/>
      </c>
      <c r="C16" s="38">
        <f>SUM(C8:C15)</f>
        <v/>
      </c>
    </row>
    <row r="17">
      <c r="A17" s="40" t="inlineStr">
        <is>
          <t>DISPONIBILIDADE DOS ITENS</t>
        </is>
      </c>
    </row>
    <row r="18">
      <c r="A18" s="37" t="inlineStr">
        <is>
          <t>Status</t>
        </is>
      </c>
      <c r="B18" s="37" t="inlineStr">
        <is>
          <t>Quantidade</t>
        </is>
      </c>
    </row>
    <row r="19">
      <c r="A19" s="36" t="inlineStr">
        <is>
          <t>Disponível</t>
        </is>
      </c>
      <c r="B19" s="36">
        <f>COUNTIF(Cadastro!J:J,"Disponível")</f>
        <v/>
      </c>
    </row>
    <row r="20">
      <c r="A20" s="37" t="inlineStr">
        <is>
          <t>Em uso</t>
        </is>
      </c>
      <c r="B20" s="37">
        <f>COUNTIF(Cadastro!J:J,"Em uso")</f>
        <v/>
      </c>
    </row>
    <row r="21">
      <c r="A21" s="36" t="inlineStr">
        <is>
          <t>Emprestado</t>
        </is>
      </c>
      <c r="B21" s="36">
        <f>COUNTIF(Cadastro!J:J,"Emprestado")</f>
        <v/>
      </c>
    </row>
    <row r="22">
      <c r="A22" s="40" t="inlineStr">
        <is>
          <t>ÚLTIMOS ITENS CADASTRADOS</t>
        </is>
      </c>
    </row>
    <row r="23">
      <c r="A23" s="41" t="inlineStr">
        <is>
          <t>Data</t>
        </is>
      </c>
      <c r="B23" s="41" t="inlineStr">
        <is>
          <t>Objeto</t>
        </is>
      </c>
      <c r="C23" s="41" t="inlineStr">
        <is>
          <t>Categoria</t>
        </is>
      </c>
      <c r="D23" s="41" t="inlineStr">
        <is>
          <t>Local</t>
        </is>
      </c>
      <c r="E23" s="41" t="inlineStr">
        <is>
          <t>Disponibilidade</t>
        </is>
      </c>
      <c r="F23" s="41" t="inlineStr">
        <is>
          <t>Responsável</t>
        </is>
      </c>
      <c r="G23" s="41" t="inlineStr">
        <is>
          <t>Valor</t>
        </is>
      </c>
    </row>
    <row r="24">
      <c r="A24" s="42">
        <f>Cadastro!A39</f>
        <v/>
      </c>
      <c r="B24" s="37">
        <f>Cadastro!B39</f>
        <v/>
      </c>
      <c r="C24" s="37">
        <f>Cadastro!C39</f>
        <v/>
      </c>
      <c r="D24" s="37">
        <f>Cadastro!F39</f>
        <v/>
      </c>
      <c r="E24" s="37">
        <f>Cadastro!J39</f>
        <v/>
      </c>
      <c r="F24" s="37">
        <f>Cadastro!H39</f>
        <v/>
      </c>
      <c r="G24" s="38">
        <f>Cadastro!I39</f>
        <v/>
      </c>
    </row>
    <row r="25">
      <c r="A25" s="43">
        <f>Cadastro!A40</f>
        <v/>
      </c>
      <c r="B25" s="36">
        <f>Cadastro!B40</f>
        <v/>
      </c>
      <c r="C25" s="36">
        <f>Cadastro!C40</f>
        <v/>
      </c>
      <c r="D25" s="36">
        <f>Cadastro!F40</f>
        <v/>
      </c>
      <c r="E25" s="36">
        <f>Cadastro!J40</f>
        <v/>
      </c>
      <c r="F25" s="36">
        <f>Cadastro!H40</f>
        <v/>
      </c>
      <c r="G25" s="39">
        <f>Cadastro!I40</f>
        <v/>
      </c>
    </row>
    <row r="26">
      <c r="A26" s="42">
        <f>Cadastro!A41</f>
        <v/>
      </c>
      <c r="B26" s="37">
        <f>Cadastro!B41</f>
        <v/>
      </c>
      <c r="C26" s="37">
        <f>Cadastro!C41</f>
        <v/>
      </c>
      <c r="D26" s="37">
        <f>Cadastro!F41</f>
        <v/>
      </c>
      <c r="E26" s="37">
        <f>Cadastro!J41</f>
        <v/>
      </c>
      <c r="F26" s="37">
        <f>Cadastro!H41</f>
        <v/>
      </c>
      <c r="G26" s="38">
        <f>Cadastro!I41</f>
        <v/>
      </c>
    </row>
    <row r="27">
      <c r="A27" s="43">
        <f>Cadastro!A42</f>
        <v/>
      </c>
      <c r="B27" s="36">
        <f>Cadastro!B42</f>
        <v/>
      </c>
      <c r="C27" s="36">
        <f>Cadastro!C42</f>
        <v/>
      </c>
      <c r="D27" s="36">
        <f>Cadastro!F42</f>
        <v/>
      </c>
      <c r="E27" s="36">
        <f>Cadastro!J42</f>
        <v/>
      </c>
      <c r="F27" s="36">
        <f>Cadastro!H42</f>
        <v/>
      </c>
      <c r="G27" s="39">
        <f>Cadastro!I42</f>
        <v/>
      </c>
    </row>
    <row r="28">
      <c r="A28" s="42">
        <f>Cadastro!A43</f>
        <v/>
      </c>
      <c r="B28" s="37">
        <f>Cadastro!B43</f>
        <v/>
      </c>
      <c r="C28" s="37">
        <f>Cadastro!C43</f>
        <v/>
      </c>
      <c r="D28" s="37">
        <f>Cadastro!F43</f>
        <v/>
      </c>
      <c r="E28" s="37">
        <f>Cadastro!J43</f>
        <v/>
      </c>
      <c r="F28" s="37">
        <f>Cadastro!H43</f>
        <v/>
      </c>
      <c r="G28" s="38">
        <f>Cadastro!I43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CC0"/>
  <mergeCells count="11">
    <mergeCell ref="A4:B4"/>
    <mergeCell ref="E4:F4"/>
    <mergeCell ref="A1:G1"/>
    <mergeCell ref="A22:G22"/>
    <mergeCell ref="C5:D5"/>
    <mergeCell ref="A5:B5"/>
    <mergeCell ref="A6:C6"/>
    <mergeCell ref="E5:F5"/>
    <mergeCell ref="A17:C17"/>
    <mergeCell ref="A2:G2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2026-05-10T19:21:32Z</dcterms:created>
  <dcterms:modified xmlns:dcterms="http://purl.org/dc/terms/" xmlns:xsi="http://www.w3.org/2001/XMLSchema-instance" xsi:type="dcterms:W3CDTF">2026-05-10T19:51:03Z</dcterms:modified>
</cp:coreProperties>
</file>