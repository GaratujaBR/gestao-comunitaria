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Painel Cotis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0.0%"/>
  </numFmts>
  <fonts count="24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  <sz val="14"/>
    </font>
    <font>
      <b val="1"/>
      <color rgb="00C62828"/>
      <sz val="14"/>
    </font>
    <font>
      <b val="1"/>
      <color rgb="002E7D32"/>
      <sz val="18"/>
    </font>
    <font>
      <i val="1"/>
      <color rgb="00666666"/>
    </font>
    <font>
      <b val="1"/>
      <color rgb="001B5E20"/>
      <sz val="12"/>
    </font>
    <font>
      <b val="1"/>
      <color rgb="00C62828"/>
      <sz val="12"/>
    </font>
    <font>
      <b val="1"/>
      <color rgb="001B5E20"/>
      <sz val="20"/>
    </font>
    <font>
      <b val="1"/>
      <color rgb="002E7D32"/>
      <sz val="16"/>
    </font>
    <font>
      <b val="1"/>
      <color rgb="00C62828"/>
      <sz val="16"/>
    </font>
    <font>
      <b val="1"/>
      <color rgb="00333333"/>
      <sz val="12"/>
    </font>
    <font>
      <b val="1"/>
    </font>
    <font>
      <b val="1"/>
      <color rgb="00333333"/>
      <sz val="14"/>
    </font>
    <font>
      <name val="Montserrat"/>
      <color rgb="001A1A1A"/>
      <sz val="10"/>
    </font>
    <font>
      <name val="Montserrat"/>
      <b val="1"/>
      <color rgb="00FFFFFF"/>
      <sz val="11"/>
    </font>
    <font>
      <name val="Montserrat"/>
      <b val="1"/>
      <color rgb="001A1A1A"/>
      <sz val="10"/>
    </font>
    <font>
      <name val="Montserrat"/>
      <color rgb="001A1A1A"/>
      <sz val="11"/>
    </font>
    <font>
      <name val="Montserrat"/>
      <b val="1"/>
      <color rgb="002D5A27"/>
      <sz val="13"/>
    </font>
    <font>
      <name val="Montserrat"/>
      <b val="1"/>
      <color rgb="002D5A27"/>
      <sz val="20"/>
    </font>
    <font>
      <name val="Montserrat"/>
      <i val="1"/>
      <color rgb="004D4D4D"/>
      <sz val="10"/>
    </font>
    <font>
      <name val="Montserrat"/>
      <b val="1"/>
      <color rgb="002D5A27"/>
      <sz val="11"/>
    </font>
    <font>
      <name val="Montserrat"/>
      <b val="1"/>
      <color rgb="002D5A27"/>
      <sz val="22"/>
    </font>
    <font>
      <name val="Montserrat"/>
      <b val="1"/>
      <color rgb="002D5A27"/>
      <sz val="12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0E0E0"/>
        <bgColor rgb="00E0E0E0"/>
      </patternFill>
    </fill>
    <fill>
      <patternFill patternType="solid">
        <fgColor rgb="00555555"/>
        <bgColor rgb="00555555"/>
      </patternFill>
    </fill>
    <fill>
      <patternFill patternType="solid">
        <fgColor rgb="00F3EFE0"/>
        <bgColor rgb="00F3EFE0"/>
      </patternFill>
    </fill>
    <fill>
      <patternFill patternType="solid">
        <fgColor rgb="002D5A27"/>
        <bgColor rgb="002D5A27"/>
      </patternFill>
    </fill>
    <fill>
      <patternFill patternType="solid">
        <fgColor rgb="0090EE90"/>
        <bgColor rgb="0090EE90"/>
      </patternFill>
    </fill>
    <fill>
      <patternFill patternType="solid">
        <fgColor rgb="00FF80AB"/>
        <bgColor rgb="00FF80AB"/>
      </patternFill>
    </fill>
    <fill>
      <patternFill patternType="solid">
        <fgColor rgb="00D5E8D4"/>
        <bgColor rgb="00D5E8D4"/>
      </patternFill>
    </fill>
    <fill>
      <patternFill patternType="solid">
        <fgColor rgb="0088C9A1"/>
        <bgColor rgb="0088C9A1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6B8E23"/>
      </left>
      <right style="thin">
        <color rgb="006B8E23"/>
      </right>
      <top style="thin">
        <color rgb="006B8E23"/>
      </top>
      <bottom style="thin">
        <color rgb="006B8E23"/>
      </bottom>
    </border>
    <border>
      <left style="medium">
        <color rgb="004A5D23"/>
      </left>
      <right style="medium">
        <color rgb="004A5D23"/>
      </right>
      <top style="medium">
        <color rgb="004A5D23"/>
      </top>
      <bottom style="medium">
        <color rgb="004A5D2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3" borderId="0" pivotButton="0" quotePrefix="0" xfId="0"/>
    <xf numFmtId="166" fontId="0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66" fontId="12" fillId="0" borderId="0" pivotButton="0" quotePrefix="0" xfId="0"/>
    <xf numFmtId="0" fontId="13" fillId="0" borderId="0" pivotButton="0" quotePrefix="0" xfId="0"/>
    <xf numFmtId="0" fontId="1" fillId="4" borderId="0" applyAlignment="1" pivotButton="0" quotePrefix="0" xfId="0">
      <alignment horizontal="center"/>
    </xf>
    <xf numFmtId="0" fontId="15" fillId="6" borderId="1" applyAlignment="1" pivotButton="0" quotePrefix="0" xfId="0">
      <alignment horizontal="center" vertical="center" wrapText="1"/>
    </xf>
    <xf numFmtId="164" fontId="14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165" fontId="16" fillId="7" borderId="1" applyAlignment="1" pivotButton="0" quotePrefix="0" xfId="0">
      <alignment horizontal="left" vertical="center"/>
    </xf>
    <xf numFmtId="165" fontId="16" fillId="8" borderId="1" applyAlignment="1" pivotButton="0" quotePrefix="0" xfId="0">
      <alignment horizontal="left" vertical="center"/>
    </xf>
    <xf numFmtId="0" fontId="18" fillId="9" borderId="1" pivotButton="0" quotePrefix="0" xfId="0"/>
    <xf numFmtId="0" fontId="17" fillId="5" borderId="1" pivotButton="0" quotePrefix="0" xfId="0"/>
    <xf numFmtId="0" fontId="19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1" fillId="10" borderId="2" applyAlignment="1" pivotButton="0" quotePrefix="0" xfId="0">
      <alignment horizontal="center" vertical="center"/>
    </xf>
    <xf numFmtId="165" fontId="22" fillId="10" borderId="2" applyAlignment="1" pivotButton="0" quotePrefix="0" xfId="0">
      <alignment horizontal="center" vertical="center"/>
    </xf>
    <xf numFmtId="0" fontId="14" fillId="0" borderId="1" pivotButton="0" quotePrefix="0" xfId="0"/>
    <xf numFmtId="0" fontId="14" fillId="11" borderId="1" pivotButton="0" quotePrefix="0" xfId="0"/>
    <xf numFmtId="0" fontId="14" fillId="5" borderId="1" pivotButton="0" quotePrefix="0" xfId="0"/>
    <xf numFmtId="165" fontId="14" fillId="5" borderId="1" pivotButton="0" quotePrefix="0" xfId="0"/>
    <xf numFmtId="166" fontId="14" fillId="5" borderId="1" pivotButton="0" quotePrefix="0" xfId="0"/>
    <xf numFmtId="165" fontId="14" fillId="11" borderId="1" pivotButton="0" quotePrefix="0" xfId="0"/>
    <xf numFmtId="166" fontId="14" fillId="11" borderId="1" pivotButton="0" quotePrefix="0" xfId="0"/>
    <xf numFmtId="0" fontId="23" fillId="9" borderId="1" pivotButton="0" quotePrefix="0" xfId="0"/>
    <xf numFmtId="0" fontId="14" fillId="11" borderId="1" applyAlignment="1" pivotButton="0" quotePrefix="0" xfId="0">
      <alignment horizontal="center"/>
    </xf>
    <xf numFmtId="0" fontId="15" fillId="6" borderId="0" applyAlignment="1" pivotButton="0" quotePrefix="0" xfId="0">
      <alignment horizontal="center" vertical="center" wrapText="1"/>
    </xf>
    <xf numFmtId="164" fontId="14" fillId="5" borderId="1" pivotButton="0" quotePrefix="0" xfId="0"/>
    <xf numFmtId="164" fontId="14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Saídas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'Painel Cotista'!B7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Cotista'!$A$8:$A$12</f>
            </numRef>
          </cat>
          <val>
            <numRef>
              <f>'Painel Cotista'!$B$8:$B$12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Entradas vs Saídas (últimos 6 meses)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Cotista'!B17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Cotista'!$A$18:$A$23</f>
            </numRef>
          </cat>
          <val>
            <numRef>
              <f>'Painel Cotista'!$B$18:$B$23</f>
            </numRef>
          </val>
        </ser>
        <ser>
          <idx val="1"/>
          <order val="1"/>
          <tx>
            <strRef>
              <f>'Painel Cotista'!C17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Cotista'!$A$18:$A$23</f>
            </numRef>
          </cat>
          <val>
            <numRef>
              <f>'Painel Cotista'!$C$18:$C$23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  <col width="16" customWidth="1" min="4" max="4"/>
    <col width="24" customWidth="1" min="5" max="5"/>
    <col width="28" customWidth="1" min="6" max="6"/>
  </cols>
  <sheetData>
    <row r="1">
      <c r="A1" s="21" t="inlineStr">
        <is>
          <t>Data</t>
        </is>
      </c>
      <c r="B1" s="21" t="inlineStr">
        <is>
          <t>Descrição</t>
        </is>
      </c>
      <c r="C1" s="21" t="inlineStr">
        <is>
          <t>Categoria</t>
        </is>
      </c>
      <c r="D1" s="21" t="inlineStr">
        <is>
          <t>Valor (R$)</t>
        </is>
      </c>
      <c r="E1" s="21" t="inlineStr">
        <is>
          <t>Tipo (Entrada/Saída)</t>
        </is>
      </c>
      <c r="F1" s="21" t="inlineStr">
        <is>
          <t>Comprovante (link)</t>
        </is>
      </c>
    </row>
    <row r="2">
      <c r="A2" s="22" t="inlineStr">
        <is>
          <t>2026-01-21</t>
        </is>
      </c>
      <c r="B2" s="23" t="inlineStr">
        <is>
          <t>Cota inicial - Noemi</t>
        </is>
      </c>
      <c r="C2" s="23" t="inlineStr">
        <is>
          <t>Contribuição inicial de cotistas</t>
        </is>
      </c>
      <c r="D2" s="24" t="n">
        <v>300</v>
      </c>
      <c r="E2" s="23" t="inlineStr">
        <is>
          <t>Entrada</t>
        </is>
      </c>
      <c r="F2" s="23" t="inlineStr"/>
    </row>
    <row r="3">
      <c r="A3" s="22" t="inlineStr">
        <is>
          <t>2026-01-21</t>
        </is>
      </c>
      <c r="B3" s="23" t="inlineStr">
        <is>
          <t>Cota inicial - Maira</t>
        </is>
      </c>
      <c r="C3" s="23" t="inlineStr">
        <is>
          <t>Contribuição inicial de cotistas</t>
        </is>
      </c>
      <c r="D3" s="24" t="n">
        <v>300</v>
      </c>
      <c r="E3" s="23" t="inlineStr">
        <is>
          <t>Entrada</t>
        </is>
      </c>
      <c r="F3" s="23" t="inlineStr"/>
    </row>
    <row r="4">
      <c r="A4" s="22" t="inlineStr">
        <is>
          <t>2026-01-21</t>
        </is>
      </c>
      <c r="B4" s="23" t="inlineStr">
        <is>
          <t>Cota inicial - Aislan/Ivyh</t>
        </is>
      </c>
      <c r="C4" s="23" t="inlineStr">
        <is>
          <t>Contribuição inicial de cotistas</t>
        </is>
      </c>
      <c r="D4" s="24" t="n">
        <v>300</v>
      </c>
      <c r="E4" s="23" t="inlineStr">
        <is>
          <t>Entrada</t>
        </is>
      </c>
      <c r="F4" s="23" t="inlineStr"/>
    </row>
    <row r="5">
      <c r="A5" s="22" t="inlineStr">
        <is>
          <t>2026-01-22</t>
        </is>
      </c>
      <c r="B5" s="23" t="inlineStr">
        <is>
          <t>Cota inicial - Corina</t>
        </is>
      </c>
      <c r="C5" s="23" t="inlineStr">
        <is>
          <t>Contribuição inicial de cotistas</t>
        </is>
      </c>
      <c r="D5" s="24" t="n">
        <v>300</v>
      </c>
      <c r="E5" s="23" t="inlineStr">
        <is>
          <t>Entrada</t>
        </is>
      </c>
      <c r="F5" s="23" t="inlineStr"/>
    </row>
    <row r="6">
      <c r="A6" s="22" t="inlineStr">
        <is>
          <t>2026-01-22</t>
        </is>
      </c>
      <c r="B6" s="23" t="inlineStr">
        <is>
          <t>Cota inicial - Patrícia</t>
        </is>
      </c>
      <c r="C6" s="23" t="inlineStr">
        <is>
          <t>Contribuição inicial de cotistas</t>
        </is>
      </c>
      <c r="D6" s="24" t="n">
        <v>300</v>
      </c>
      <c r="E6" s="23" t="inlineStr">
        <is>
          <t>Entrada</t>
        </is>
      </c>
      <c r="F6" s="23" t="inlineStr"/>
    </row>
    <row r="7">
      <c r="A7" s="22" t="inlineStr">
        <is>
          <t>2026-01-22</t>
        </is>
      </c>
      <c r="B7" s="23" t="inlineStr">
        <is>
          <t>Cota inicial - Marina</t>
        </is>
      </c>
      <c r="C7" s="23" t="inlineStr">
        <is>
          <t>Contribuição inicial de cotistas</t>
        </is>
      </c>
      <c r="D7" s="24" t="n">
        <v>300</v>
      </c>
      <c r="E7" s="23" t="inlineStr">
        <is>
          <t>Entrada</t>
        </is>
      </c>
      <c r="F7" s="23" t="inlineStr"/>
    </row>
    <row r="8">
      <c r="A8" s="22" t="inlineStr">
        <is>
          <t>2026-01-22</t>
        </is>
      </c>
      <c r="B8" s="23" t="inlineStr">
        <is>
          <t>Cota inicial - Iram</t>
        </is>
      </c>
      <c r="C8" s="23" t="inlineStr">
        <is>
          <t>Contribuição inicial de cotistas</t>
        </is>
      </c>
      <c r="D8" s="24" t="n">
        <v>300</v>
      </c>
      <c r="E8" s="23" t="inlineStr">
        <is>
          <t>Entrada</t>
        </is>
      </c>
      <c r="F8" s="23" t="inlineStr"/>
    </row>
    <row r="9">
      <c r="A9" s="22" t="inlineStr">
        <is>
          <t>2026-01-22</t>
        </is>
      </c>
      <c r="B9" s="23" t="inlineStr">
        <is>
          <t>Cota inicial - Estevão</t>
        </is>
      </c>
      <c r="C9" s="23" t="inlineStr">
        <is>
          <t>Contribuição inicial de cotistas</t>
        </is>
      </c>
      <c r="D9" s="24" t="n">
        <v>300</v>
      </c>
      <c r="E9" s="23" t="inlineStr">
        <is>
          <t>Entrada</t>
        </is>
      </c>
      <c r="F9" s="23" t="inlineStr"/>
    </row>
    <row r="10">
      <c r="A10" s="22" t="inlineStr">
        <is>
          <t>2026-01-22</t>
        </is>
      </c>
      <c r="B10" s="23" t="inlineStr">
        <is>
          <t>Cota inicial - Diego</t>
        </is>
      </c>
      <c r="C10" s="23" t="inlineStr">
        <is>
          <t>Contribuição inicial de cotistas</t>
        </is>
      </c>
      <c r="D10" s="24" t="n">
        <v>300</v>
      </c>
      <c r="E10" s="23" t="inlineStr">
        <is>
          <t>Entrada</t>
        </is>
      </c>
      <c r="F10" s="23" t="inlineStr"/>
    </row>
    <row r="11">
      <c r="A11" s="22" t="inlineStr">
        <is>
          <t>2026-01-22</t>
        </is>
      </c>
      <c r="B11" s="23" t="inlineStr">
        <is>
          <t>Cota inicial - Flávia</t>
        </is>
      </c>
      <c r="C11" s="23" t="inlineStr">
        <is>
          <t>Contribuição inicial de cotistas</t>
        </is>
      </c>
      <c r="D11" s="24" t="n">
        <v>300</v>
      </c>
      <c r="E11" s="23" t="inlineStr">
        <is>
          <t>Entrada</t>
        </is>
      </c>
      <c r="F11" s="23" t="inlineStr"/>
    </row>
    <row r="12">
      <c r="A12" s="22" t="inlineStr">
        <is>
          <t>2026-01-24</t>
        </is>
      </c>
      <c r="B12" s="23" t="inlineStr">
        <is>
          <t>Cota inicial - Isa</t>
        </is>
      </c>
      <c r="C12" s="23" t="inlineStr">
        <is>
          <t>Contribuição inicial de cotistas</t>
        </is>
      </c>
      <c r="D12" s="24" t="n">
        <v>300</v>
      </c>
      <c r="E12" s="23" t="inlineStr">
        <is>
          <t>Entrada</t>
        </is>
      </c>
      <c r="F12" s="23" t="inlineStr"/>
    </row>
    <row r="13">
      <c r="A13" s="22" t="inlineStr">
        <is>
          <t>2026-01-27</t>
        </is>
      </c>
      <c r="B13" s="23" t="inlineStr">
        <is>
          <t>Cota inicial - Ina</t>
        </is>
      </c>
      <c r="C13" s="23" t="inlineStr">
        <is>
          <t>Contribuição inicial de cotistas</t>
        </is>
      </c>
      <c r="D13" s="24" t="n">
        <v>300</v>
      </c>
      <c r="E13" s="23" t="inlineStr">
        <is>
          <t>Entrada</t>
        </is>
      </c>
      <c r="F13" s="23" t="inlineStr"/>
    </row>
    <row r="14">
      <c r="A14" s="22" t="inlineStr">
        <is>
          <t>2026-01-27</t>
        </is>
      </c>
      <c r="B14" s="23" t="inlineStr">
        <is>
          <t>Cota inicial - Adriano</t>
        </is>
      </c>
      <c r="C14" s="23" t="inlineStr">
        <is>
          <t>Contribuição inicial de cotistas</t>
        </is>
      </c>
      <c r="D14" s="24" t="n">
        <v>300</v>
      </c>
      <c r="E14" s="23" t="inlineStr">
        <is>
          <t>Entrada</t>
        </is>
      </c>
      <c r="F14" s="23" t="inlineStr"/>
    </row>
    <row r="15">
      <c r="A15" s="22" t="inlineStr">
        <is>
          <t>2026-01-28</t>
        </is>
      </c>
      <c r="B15" s="23" t="inlineStr">
        <is>
          <t>Compra itens cozinha e comodidades</t>
        </is>
      </c>
      <c r="C15" s="23" t="inlineStr">
        <is>
          <t>Compra de materiais</t>
        </is>
      </c>
      <c r="D15" s="25" t="n">
        <v>3761</v>
      </c>
      <c r="E15" s="23" t="inlineStr">
        <is>
          <t>Saída</t>
        </is>
      </c>
      <c r="F15" s="23" t="inlineStr"/>
    </row>
    <row r="16">
      <c r="A16" s="22" t="inlineStr">
        <is>
          <t>2026-02-01</t>
        </is>
      </c>
      <c r="B16" s="23" t="inlineStr">
        <is>
          <t>Mensalidade - Noemi</t>
        </is>
      </c>
      <c r="C16" s="23" t="inlineStr">
        <is>
          <t>Contribuição mensal de cotistas</t>
        </is>
      </c>
      <c r="D16" s="24" t="n">
        <v>50</v>
      </c>
      <c r="E16" s="23" t="inlineStr">
        <is>
          <t>Entrada</t>
        </is>
      </c>
      <c r="F16" s="23" t="inlineStr"/>
    </row>
    <row r="17">
      <c r="A17" s="22" t="inlineStr">
        <is>
          <t>2026-02-01</t>
        </is>
      </c>
      <c r="B17" s="23" t="inlineStr">
        <is>
          <t>Mensalidade - Flávia</t>
        </is>
      </c>
      <c r="C17" s="23" t="inlineStr">
        <is>
          <t>Contribuição mensal de cotistas</t>
        </is>
      </c>
      <c r="D17" s="24" t="n">
        <v>50</v>
      </c>
      <c r="E17" s="23" t="inlineStr">
        <is>
          <t>Entrada</t>
        </is>
      </c>
      <c r="F17" s="23" t="inlineStr"/>
    </row>
    <row r="18">
      <c r="A18" s="22" t="inlineStr">
        <is>
          <t>2026-02-08</t>
        </is>
      </c>
      <c r="B18" s="23" t="inlineStr">
        <is>
          <t>Mensalidade - Marina</t>
        </is>
      </c>
      <c r="C18" s="23" t="inlineStr">
        <is>
          <t>Contribuição mensal de cotistas</t>
        </is>
      </c>
      <c r="D18" s="24" t="n">
        <v>50</v>
      </c>
      <c r="E18" s="23" t="inlineStr">
        <is>
          <t>Entrada</t>
        </is>
      </c>
      <c r="F18" s="23" t="inlineStr"/>
    </row>
    <row r="19">
      <c r="A19" s="22" t="inlineStr">
        <is>
          <t>2026-02-10</t>
        </is>
      </c>
      <c r="B19" s="23" t="inlineStr">
        <is>
          <t>Mensalidade - Iram</t>
        </is>
      </c>
      <c r="C19" s="23" t="inlineStr">
        <is>
          <t>Contribuição mensal de cotistas</t>
        </is>
      </c>
      <c r="D19" s="24" t="n">
        <v>50</v>
      </c>
      <c r="E19" s="23" t="inlineStr">
        <is>
          <t>Entrada</t>
        </is>
      </c>
      <c r="F19" s="23" t="inlineStr"/>
    </row>
    <row r="20">
      <c r="A20" s="22" t="inlineStr">
        <is>
          <t>2026-02-10</t>
        </is>
      </c>
      <c r="B20" s="23" t="inlineStr">
        <is>
          <t>Mensalidade - Estevão</t>
        </is>
      </c>
      <c r="C20" s="23" t="inlineStr">
        <is>
          <t>Contribuição mensal de cotistas</t>
        </is>
      </c>
      <c r="D20" s="24" t="n">
        <v>50</v>
      </c>
      <c r="E20" s="23" t="inlineStr">
        <is>
          <t>Entrada</t>
        </is>
      </c>
      <c r="F20" s="23" t="inlineStr"/>
    </row>
    <row r="21">
      <c r="A21" s="22" t="inlineStr">
        <is>
          <t>2026-02-10</t>
        </is>
      </c>
      <c r="B21" s="23" t="inlineStr">
        <is>
          <t>Mensalidade - Patrícia</t>
        </is>
      </c>
      <c r="C21" s="23" t="inlineStr">
        <is>
          <t>Contribuição mensal de cotistas</t>
        </is>
      </c>
      <c r="D21" s="24" t="n">
        <v>50</v>
      </c>
      <c r="E21" s="23" t="inlineStr">
        <is>
          <t>Entrada</t>
        </is>
      </c>
      <c r="F21" s="23" t="inlineStr"/>
    </row>
    <row r="22">
      <c r="A22" s="22" t="inlineStr">
        <is>
          <t>2026-02-10</t>
        </is>
      </c>
      <c r="B22" s="23" t="inlineStr">
        <is>
          <t>Mensalidade - Aislan/Ivyh</t>
        </is>
      </c>
      <c r="C22" s="23" t="inlineStr">
        <is>
          <t>Contribuição mensal de cotistas</t>
        </is>
      </c>
      <c r="D22" s="24" t="n">
        <v>50</v>
      </c>
      <c r="E22" s="23" t="inlineStr">
        <is>
          <t>Entrada</t>
        </is>
      </c>
      <c r="F22" s="23" t="inlineStr"/>
    </row>
    <row r="23">
      <c r="A23" s="22" t="inlineStr">
        <is>
          <t>2026-02-15</t>
        </is>
      </c>
      <c r="B23" s="23" t="inlineStr">
        <is>
          <t>Mensalidade - Diego</t>
        </is>
      </c>
      <c r="C23" s="23" t="inlineStr">
        <is>
          <t>Contribuição mensal de cotistas</t>
        </is>
      </c>
      <c r="D23" s="24" t="n">
        <v>50</v>
      </c>
      <c r="E23" s="23" t="inlineStr">
        <is>
          <t>Entrada</t>
        </is>
      </c>
      <c r="F23" s="23" t="inlineStr"/>
    </row>
    <row r="24">
      <c r="A24" s="22" t="inlineStr">
        <is>
          <t>2026-02-20</t>
        </is>
      </c>
      <c r="B24" s="23" t="inlineStr">
        <is>
          <t>Mensalidade - Isa</t>
        </is>
      </c>
      <c r="C24" s="23" t="inlineStr">
        <is>
          <t>Contribuição mensal de cotistas</t>
        </is>
      </c>
      <c r="D24" s="24" t="n">
        <v>50</v>
      </c>
      <c r="E24" s="23" t="inlineStr">
        <is>
          <t>Entrada</t>
        </is>
      </c>
      <c r="F24" s="23" t="inlineStr"/>
    </row>
    <row r="25">
      <c r="A25" s="22" t="inlineStr">
        <is>
          <t>2026-02-22</t>
        </is>
      </c>
      <c r="B25" s="23" t="inlineStr">
        <is>
          <t>Mensalidade - Corina</t>
        </is>
      </c>
      <c r="C25" s="23" t="inlineStr">
        <is>
          <t>Contribuição mensal de cotistas</t>
        </is>
      </c>
      <c r="D25" s="24" t="n">
        <v>50</v>
      </c>
      <c r="E25" s="23" t="inlineStr">
        <is>
          <t>Entrada</t>
        </is>
      </c>
      <c r="F25" s="23" t="inlineStr"/>
    </row>
    <row r="26">
      <c r="A26" s="22" t="inlineStr">
        <is>
          <t>2026-02-23</t>
        </is>
      </c>
      <c r="B26" s="23" t="inlineStr">
        <is>
          <t>Mensalidade - Adriano</t>
        </is>
      </c>
      <c r="C26" s="23" t="inlineStr">
        <is>
          <t>Contribuição mensal de cotistas</t>
        </is>
      </c>
      <c r="D26" s="24" t="n">
        <v>50</v>
      </c>
      <c r="E26" s="23" t="inlineStr">
        <is>
          <t>Entrada</t>
        </is>
      </c>
      <c r="F26" s="23" t="inlineStr"/>
    </row>
    <row r="27">
      <c r="A27" s="22" t="inlineStr">
        <is>
          <t>2026-02-24</t>
        </is>
      </c>
      <c r="B27" s="23" t="inlineStr">
        <is>
          <t>Mensalidade - Maira</t>
        </is>
      </c>
      <c r="C27" s="23" t="inlineStr">
        <is>
          <t>Contribuição mensal de cotistas</t>
        </is>
      </c>
      <c r="D27" s="24" t="n">
        <v>50</v>
      </c>
      <c r="E27" s="23" t="inlineStr">
        <is>
          <t>Entrada</t>
        </is>
      </c>
      <c r="F27" s="23" t="inlineStr"/>
    </row>
    <row r="28">
      <c r="A28" s="22" t="inlineStr">
        <is>
          <t>2026-02-28</t>
        </is>
      </c>
      <c r="B28" s="23" t="inlineStr">
        <is>
          <t>Compra itens comodidades</t>
        </is>
      </c>
      <c r="C28" s="23" t="inlineStr">
        <is>
          <t>Compra de materiais</t>
        </is>
      </c>
      <c r="D28" s="25" t="n">
        <v>255.6</v>
      </c>
      <c r="E28" s="23" t="inlineStr">
        <is>
          <t>Saída</t>
        </is>
      </c>
      <c r="F28" s="23" t="inlineStr"/>
    </row>
    <row r="29">
      <c r="A29" s="22" t="inlineStr">
        <is>
          <t>2026-03-01</t>
        </is>
      </c>
      <c r="B29" s="23" t="inlineStr">
        <is>
          <t>Mensalidade - Flávia</t>
        </is>
      </c>
      <c r="C29" s="23" t="inlineStr">
        <is>
          <t>Contribuição mensal de cotistas</t>
        </is>
      </c>
      <c r="D29" s="24" t="n">
        <v>50</v>
      </c>
      <c r="E29" s="23" t="inlineStr">
        <is>
          <t>Entrada</t>
        </is>
      </c>
      <c r="F29" s="23" t="inlineStr"/>
    </row>
    <row r="30">
      <c r="A30" s="22" t="inlineStr">
        <is>
          <t>2026-03-01</t>
        </is>
      </c>
      <c r="B30" s="23" t="inlineStr">
        <is>
          <t>Mensalidade - Noemi</t>
        </is>
      </c>
      <c r="C30" s="23" t="inlineStr">
        <is>
          <t>Contribuição mensal de cotistas</t>
        </is>
      </c>
      <c r="D30" s="24" t="n">
        <v>50</v>
      </c>
      <c r="E30" s="23" t="inlineStr">
        <is>
          <t>Entrada</t>
        </is>
      </c>
      <c r="F30" s="23" t="inlineStr"/>
    </row>
    <row r="31">
      <c r="A31" s="22" t="inlineStr">
        <is>
          <t>2026-03-01</t>
        </is>
      </c>
      <c r="B31" s="23" t="inlineStr">
        <is>
          <t>Mensalidade - Aislan/Ivyh</t>
        </is>
      </c>
      <c r="C31" s="23" t="inlineStr">
        <is>
          <t>Contribuição mensal de cotistas</t>
        </is>
      </c>
      <c r="D31" s="24" t="n">
        <v>50</v>
      </c>
      <c r="E31" s="23" t="inlineStr">
        <is>
          <t>Entrada</t>
        </is>
      </c>
      <c r="F31" s="23" t="inlineStr"/>
    </row>
    <row r="32">
      <c r="A32" s="22" t="inlineStr">
        <is>
          <t>2026-03-03</t>
        </is>
      </c>
      <c r="B32" s="23" t="inlineStr">
        <is>
          <t>Mensalidade - Ina (Fev/Mar)</t>
        </is>
      </c>
      <c r="C32" s="23" t="inlineStr">
        <is>
          <t>Contribuição mensal de cotistas</t>
        </is>
      </c>
      <c r="D32" s="24" t="n">
        <v>100</v>
      </c>
      <c r="E32" s="23" t="inlineStr">
        <is>
          <t>Entrada</t>
        </is>
      </c>
      <c r="F32" s="23" t="inlineStr"/>
    </row>
    <row r="33">
      <c r="A33" s="22" t="inlineStr">
        <is>
          <t>2026-03-04</t>
        </is>
      </c>
      <c r="B33" s="23" t="inlineStr">
        <is>
          <t>Mensalidade - Isa</t>
        </is>
      </c>
      <c r="C33" s="23" t="inlineStr">
        <is>
          <t>Contribuição mensal de cotistas</t>
        </is>
      </c>
      <c r="D33" s="24" t="n">
        <v>50</v>
      </c>
      <c r="E33" s="23" t="inlineStr">
        <is>
          <t>Entrada</t>
        </is>
      </c>
      <c r="F33" s="23" t="inlineStr"/>
    </row>
    <row r="34">
      <c r="A34" s="22" t="inlineStr">
        <is>
          <t>2026-03-05</t>
        </is>
      </c>
      <c r="B34" s="23" t="inlineStr">
        <is>
          <t>Mensalidade - Iram</t>
        </is>
      </c>
      <c r="C34" s="23" t="inlineStr">
        <is>
          <t>Contribuição mensal de cotistas</t>
        </is>
      </c>
      <c r="D34" s="24" t="n">
        <v>50</v>
      </c>
      <c r="E34" s="23" t="inlineStr">
        <is>
          <t>Entrada</t>
        </is>
      </c>
      <c r="F34" s="23" t="inlineStr"/>
    </row>
    <row r="35">
      <c r="A35" s="22" t="inlineStr">
        <is>
          <t>2026-03-05</t>
        </is>
      </c>
      <c r="B35" s="23" t="inlineStr">
        <is>
          <t>Mensalidade - Marina</t>
        </is>
      </c>
      <c r="C35" s="23" t="inlineStr">
        <is>
          <t>Contribuição mensal de cotistas</t>
        </is>
      </c>
      <c r="D35" s="24" t="n">
        <v>50</v>
      </c>
      <c r="E35" s="23" t="inlineStr">
        <is>
          <t>Entrada</t>
        </is>
      </c>
      <c r="F35" s="23" t="inlineStr"/>
    </row>
    <row r="36">
      <c r="A36" s="22" t="inlineStr">
        <is>
          <t>2026-03-09</t>
        </is>
      </c>
      <c r="B36" s="23" t="inlineStr">
        <is>
          <t>Mensalidade - Estevão</t>
        </is>
      </c>
      <c r="C36" s="23" t="inlineStr">
        <is>
          <t>Contribuição mensal de cotistas</t>
        </is>
      </c>
      <c r="D36" s="24" t="n">
        <v>50</v>
      </c>
      <c r="E36" s="23" t="inlineStr">
        <is>
          <t>Entrada</t>
        </is>
      </c>
      <c r="F36" s="23" t="inlineStr"/>
    </row>
    <row r="37">
      <c r="A37" s="22" t="inlineStr">
        <is>
          <t>2026-03-11</t>
        </is>
      </c>
      <c r="B37" s="23" t="inlineStr">
        <is>
          <t>Mensalidade - Patrícia</t>
        </is>
      </c>
      <c r="C37" s="23" t="inlineStr">
        <is>
          <t>Contribuição mensal de cotistas</t>
        </is>
      </c>
      <c r="D37" s="24" t="n">
        <v>50</v>
      </c>
      <c r="E37" s="23" t="inlineStr">
        <is>
          <t>Entrada</t>
        </is>
      </c>
      <c r="F37" s="23" t="inlineStr"/>
    </row>
    <row r="38">
      <c r="A38" s="22" t="inlineStr">
        <is>
          <t>2026-03-22</t>
        </is>
      </c>
      <c r="B38" s="23" t="inlineStr">
        <is>
          <t>Mensalidade - Corina</t>
        </is>
      </c>
      <c r="C38" s="23" t="inlineStr">
        <is>
          <t>Contribuição mensal de cotistas</t>
        </is>
      </c>
      <c r="D38" s="24" t="n">
        <v>50</v>
      </c>
      <c r="E38" s="23" t="inlineStr">
        <is>
          <t>Entrada</t>
        </is>
      </c>
      <c r="F38" s="23" t="inlineStr"/>
    </row>
    <row r="39">
      <c r="A39" s="22" t="inlineStr">
        <is>
          <t>2026-03-24</t>
        </is>
      </c>
      <c r="B39" s="23" t="inlineStr">
        <is>
          <t>Mensalidade - Maira</t>
        </is>
      </c>
      <c r="C39" s="23" t="inlineStr">
        <is>
          <t>Contribuição mensal de cotistas</t>
        </is>
      </c>
      <c r="D39" s="24" t="n">
        <v>50</v>
      </c>
      <c r="E39" s="23" t="inlineStr">
        <is>
          <t>Entrada</t>
        </is>
      </c>
      <c r="F39" s="23" t="inlineStr"/>
    </row>
    <row r="40">
      <c r="A40" s="22" t="inlineStr">
        <is>
          <t>2026-04-01</t>
        </is>
      </c>
      <c r="B40" s="23" t="inlineStr">
        <is>
          <t>Mensalidade - Aislan/Ivyh</t>
        </is>
      </c>
      <c r="C40" s="23" t="inlineStr">
        <is>
          <t>Contribuição mensal de cotistas</t>
        </is>
      </c>
      <c r="D40" s="24" t="n">
        <v>50</v>
      </c>
      <c r="E40" s="23" t="inlineStr">
        <is>
          <t>Entrada</t>
        </is>
      </c>
      <c r="F40" s="23" t="inlineStr"/>
    </row>
    <row r="41">
      <c r="A41" s="22" t="inlineStr">
        <is>
          <t>2026-04-01</t>
        </is>
      </c>
      <c r="B41" s="23" t="inlineStr">
        <is>
          <t>Mensalidade - Noemi</t>
        </is>
      </c>
      <c r="C41" s="23" t="inlineStr">
        <is>
          <t>Contribuição mensal de cotistas</t>
        </is>
      </c>
      <c r="D41" s="24" t="n">
        <v>50</v>
      </c>
      <c r="E41" s="23" t="inlineStr">
        <is>
          <t>Entrada</t>
        </is>
      </c>
      <c r="F41" s="23" t="inlineStr"/>
    </row>
    <row r="42">
      <c r="A42" s="22" t="inlineStr">
        <is>
          <t>2026-04-06</t>
        </is>
      </c>
      <c r="B42" s="23" t="inlineStr">
        <is>
          <t>Mensalidade - Flávia</t>
        </is>
      </c>
      <c r="C42" s="23" t="inlineStr">
        <is>
          <t>Contribuição mensal de cotistas</t>
        </is>
      </c>
      <c r="D42" s="24" t="n">
        <v>50</v>
      </c>
      <c r="E42" s="23" t="inlineStr">
        <is>
          <t>Entrada</t>
        </is>
      </c>
      <c r="F42" s="23" t="inlineStr"/>
    </row>
    <row r="43">
      <c r="A43" s="22" t="inlineStr">
        <is>
          <t>2026-04-06</t>
        </is>
      </c>
      <c r="B43" s="23" t="inlineStr">
        <is>
          <t>Mensalidade - Iram</t>
        </is>
      </c>
      <c r="C43" s="23" t="inlineStr">
        <is>
          <t>Contribuição mensal de cotistas</t>
        </is>
      </c>
      <c r="D43" s="24" t="n">
        <v>50</v>
      </c>
      <c r="E43" s="23" t="inlineStr">
        <is>
          <t>Entrada</t>
        </is>
      </c>
      <c r="F43" s="23" t="inlineStr"/>
    </row>
    <row r="44">
      <c r="A44" s="22" t="inlineStr">
        <is>
          <t>2026-04-06</t>
        </is>
      </c>
      <c r="B44" s="23" t="inlineStr">
        <is>
          <t>Mensalidade - Isa</t>
        </is>
      </c>
      <c r="C44" s="23" t="inlineStr">
        <is>
          <t>Contribuição mensal de cotistas</t>
        </is>
      </c>
      <c r="D44" s="24" t="n">
        <v>50</v>
      </c>
      <c r="E44" s="23" t="inlineStr">
        <is>
          <t>Entrada</t>
        </is>
      </c>
      <c r="F44" s="23" t="inlineStr"/>
    </row>
    <row r="45">
      <c r="A45" s="22" t="inlineStr">
        <is>
          <t>2026-04-09</t>
        </is>
      </c>
      <c r="B45" s="23" t="inlineStr">
        <is>
          <t>Mensalidade - Estevão</t>
        </is>
      </c>
      <c r="C45" s="23" t="inlineStr">
        <is>
          <t>Contribuição mensal de cotistas</t>
        </is>
      </c>
      <c r="D45" s="24" t="n">
        <v>50</v>
      </c>
      <c r="E45" s="23" t="inlineStr">
        <is>
          <t>Entrada</t>
        </is>
      </c>
      <c r="F45" s="23" t="inlineStr"/>
    </row>
    <row r="46">
      <c r="A46" s="22" t="inlineStr">
        <is>
          <t>2026-04-11</t>
        </is>
      </c>
      <c r="B46" s="23" t="inlineStr">
        <is>
          <t>Mensalidade - Patrícia</t>
        </is>
      </c>
      <c r="C46" s="23" t="inlineStr">
        <is>
          <t>Contribuição mensal de cotistas</t>
        </is>
      </c>
      <c r="D46" s="24" t="n">
        <v>50</v>
      </c>
      <c r="E46" s="23" t="inlineStr">
        <is>
          <t>Entrada</t>
        </is>
      </c>
      <c r="F46" s="23" t="inlineStr"/>
    </row>
    <row r="47">
      <c r="A47" s="22" t="inlineStr">
        <is>
          <t>2026-04-13</t>
        </is>
      </c>
      <c r="B47" s="23" t="inlineStr">
        <is>
          <t>Mensalidade - Diego (Mar/Abr)</t>
        </is>
      </c>
      <c r="C47" s="23" t="inlineStr">
        <is>
          <t>Contribuição mensal de cotistas</t>
        </is>
      </c>
      <c r="D47" s="24" t="n">
        <v>100</v>
      </c>
      <c r="E47" s="23" t="inlineStr">
        <is>
          <t>Entrada</t>
        </is>
      </c>
      <c r="F47" s="23" t="inlineStr"/>
    </row>
    <row r="48">
      <c r="A48" s="22" t="inlineStr">
        <is>
          <t>2026-04-13</t>
        </is>
      </c>
      <c r="B48" s="23" t="inlineStr">
        <is>
          <t>Mensalidade - Marina</t>
        </is>
      </c>
      <c r="C48" s="23" t="inlineStr">
        <is>
          <t>Contribuição mensal de cotistas</t>
        </is>
      </c>
      <c r="D48" s="24" t="n">
        <v>50</v>
      </c>
      <c r="E48" s="23" t="inlineStr">
        <is>
          <t>Entrada</t>
        </is>
      </c>
      <c r="F48" s="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5E8D4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6" t="inlineStr">
        <is>
          <t>CATEGORIAS DE ENTRADA</t>
        </is>
      </c>
    </row>
    <row r="2">
      <c r="A2" s="27" t="n"/>
    </row>
    <row r="3">
      <c r="A3" s="27" t="inlineStr">
        <is>
          <t>Contribuição inicial de cotistas</t>
        </is>
      </c>
    </row>
    <row r="4">
      <c r="A4" s="27" t="inlineStr">
        <is>
          <t>Contribuição mensal de cotistas</t>
        </is>
      </c>
    </row>
    <row r="5">
      <c r="A5" s="27" t="inlineStr">
        <is>
          <t>Doações</t>
        </is>
      </c>
    </row>
    <row r="6">
      <c r="A6" s="27" t="inlineStr">
        <is>
          <t>Venda de excedentes</t>
        </is>
      </c>
    </row>
    <row r="7">
      <c r="A7" s="27" t="n"/>
    </row>
    <row r="8">
      <c r="A8" s="26" t="inlineStr">
        <is>
          <t>CATEGORIAS DE SAÍDA</t>
        </is>
      </c>
    </row>
    <row r="9">
      <c r="A9" s="27" t="n"/>
    </row>
    <row r="10">
      <c r="A10" s="27" t="inlineStr">
        <is>
          <t>Compra de materiais</t>
        </is>
      </c>
    </row>
    <row r="11">
      <c r="A11" s="27" t="inlineStr">
        <is>
          <t>Contas (luz, internet)</t>
        </is>
      </c>
    </row>
    <row r="12">
      <c r="A12" s="27" t="inlineStr">
        <is>
          <t>Alimentação comunitária</t>
        </is>
      </c>
    </row>
    <row r="13">
      <c r="A13" s="27" t="inlineStr">
        <is>
          <t>Transporte</t>
        </is>
      </c>
    </row>
    <row r="14">
      <c r="A14" s="27" t="inlineStr">
        <is>
          <t>Taxas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C9A1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28" t="inlineStr">
        <is>
          <t>🌿 CANAÃ COMODIDADES — FINANÇAS ABERTAS</t>
        </is>
      </c>
    </row>
    <row r="2">
      <c r="A2" s="29" t="inlineStr">
        <is>
          <t>Atualizado em: 11/05/2026 | 13 cotistas</t>
        </is>
      </c>
    </row>
    <row r="3"/>
    <row r="4">
      <c r="A4" s="30" t="inlineStr">
        <is>
          <t>SALDO ATUAL</t>
        </is>
      </c>
      <c r="B4" s="30" t="n"/>
      <c r="C4" s="30" t="inlineStr">
        <is>
          <t>ENTRADAS DO MÊS</t>
        </is>
      </c>
      <c r="D4" s="30" t="n"/>
      <c r="E4" s="30" t="inlineStr">
        <is>
          <t>SAÍDAS DO MÊS</t>
        </is>
      </c>
      <c r="F4" s="30" t="n"/>
    </row>
    <row r="5" ht="35" customHeight="1">
      <c r="A5" s="31">
        <f>SUMIF(Lançamentos!E:E,"Entrada",Lançamentos!D:D)-SUMIF(Lançamentos!E:E,"Saída",Lançamentos!D:D)</f>
        <v/>
      </c>
      <c r="B5" s="30" t="n"/>
      <c r="C5" s="31">
        <f>SUMIFS(Lançamentos!D:D,Lançamentos!E:E,"Entrada",Lançamentos!A:A,"&gt;=01/05/2026",Lançamentos!A:A,"&lt;=31/05/2026")</f>
        <v/>
      </c>
      <c r="D5" s="30" t="n"/>
      <c r="E5" s="31">
        <f>SUMIFS(Lançamentos!D:D,Lançamentos!E:E,"Saída",Lançamentos!A:A,"&gt;=01/05/2026",Lançamentos!A:A,"&lt;=31/05/2026")</f>
        <v/>
      </c>
      <c r="F5" s="30" t="n"/>
    </row>
    <row r="6">
      <c r="A6" s="32" t="inlineStr">
        <is>
          <t>DISTRIBUIÇÃO POR CATEGORIA (SAÍDAS DO MÊS)</t>
        </is>
      </c>
    </row>
    <row r="7">
      <c r="A7" s="33" t="inlineStr">
        <is>
          <t>Categoria</t>
        </is>
      </c>
      <c r="B7" s="33" t="inlineStr">
        <is>
          <t>Valor (R$)</t>
        </is>
      </c>
      <c r="C7" s="33" t="inlineStr">
        <is>
          <t>% do Total</t>
        </is>
      </c>
    </row>
    <row r="8">
      <c r="A8" s="34" t="inlineStr">
        <is>
          <t>Compra de materiais</t>
        </is>
      </c>
      <c r="B8" s="35">
        <f>SUMIFS(Lançamentos!D:D,Lançamentos!C:C,"Compra de materiais",Lançamentos!E:E,"Saída",Lançamentos!A:A,"&gt;=01/05/2026",Lançamentos!A:A,"&lt;=31/05/2026")</f>
        <v/>
      </c>
      <c r="C8" s="36">
        <f>IF($E$5=0,0,B8/$E$5)</f>
        <v/>
      </c>
    </row>
    <row r="9">
      <c r="A9" s="33" t="inlineStr">
        <is>
          <t>Contas (luz, internet)</t>
        </is>
      </c>
      <c r="B9" s="37">
        <f>SUMIFS(Lançamentos!D:D,Lançamentos!C:C,"Contas (luz, internet)",Lançamentos!E:E,"Saída",Lançamentos!A:A,"&gt;=01/05/2026",Lançamentos!A:A,"&lt;=31/05/2026")</f>
        <v/>
      </c>
      <c r="C9" s="38">
        <f>IF($E$5=0,0,B9/$E$5)</f>
        <v/>
      </c>
    </row>
    <row r="10">
      <c r="A10" s="34" t="inlineStr">
        <is>
          <t>Alimentação comunitária</t>
        </is>
      </c>
      <c r="B10" s="35">
        <f>SUMIFS(Lançamentos!D:D,Lançamentos!C:C,"Alimentação comunitária",Lançamentos!E:E,"Saída",Lançamentos!A:A,"&gt;=01/05/2026",Lançamentos!A:A,"&lt;=31/05/2026")</f>
        <v/>
      </c>
      <c r="C10" s="36">
        <f>IF($E$5=0,0,B10/$E$5)</f>
        <v/>
      </c>
    </row>
    <row r="11">
      <c r="A11" s="33" t="inlineStr">
        <is>
          <t>Transporte</t>
        </is>
      </c>
      <c r="B11" s="37">
        <f>SUMIFS(Lançamentos!D:D,Lançamentos!C:C,"Transporte",Lançamentos!E:E,"Saída",Lançamentos!A:A,"&gt;=01/05/2026",Lançamentos!A:A,"&lt;=31/05/2026")</f>
        <v/>
      </c>
      <c r="C11" s="38">
        <f>IF($E$5=0,0,B11/$E$5)</f>
        <v/>
      </c>
    </row>
    <row r="12">
      <c r="A12" s="34" t="inlineStr">
        <is>
          <t>Taxas</t>
        </is>
      </c>
      <c r="B12" s="35">
        <f>SUMIFS(Lançamentos!D:D,Lançamentos!C:C,"Taxas",Lançamentos!E:E,"Saída",Lançamentos!A:A,"&gt;=01/05/2026",Lançamentos!A:A,"&lt;=31/05/2026")</f>
        <v/>
      </c>
      <c r="C12" s="36">
        <f>IF($E$5=0,0,B12/$E$5)</f>
        <v/>
      </c>
    </row>
    <row r="13">
      <c r="A13" s="33" t="inlineStr">
        <is>
          <t>TOTAL SAÍDAS</t>
        </is>
      </c>
      <c r="B13" s="37">
        <f>SUM(B8:B12)</f>
        <v/>
      </c>
      <c r="C13" s="38">
        <f>SUM(C8:C12)</f>
        <v/>
      </c>
    </row>
    <row r="14"/>
    <row r="15"/>
    <row r="16">
      <c r="A16" s="39" t="inlineStr">
        <is>
          <t>HISTÓRICO MENSAL (últimos 6 meses)</t>
        </is>
      </c>
    </row>
    <row r="17">
      <c r="A17" s="33" t="inlineStr">
        <is>
          <t>Mês</t>
        </is>
      </c>
      <c r="B17" s="33" t="inlineStr">
        <is>
          <t>Entradas</t>
        </is>
      </c>
      <c r="C17" s="33" t="inlineStr">
        <is>
          <t>Saídas</t>
        </is>
      </c>
    </row>
    <row r="18">
      <c r="A18" s="34" t="inlineStr">
        <is>
          <t>Dez/2025</t>
        </is>
      </c>
      <c r="B18" s="35">
        <f>SUMIFS(Lançamentos!D:D,Lançamentos!E:E,"Entrada",Lançamentos!A:A,"&gt;=01/12/2025",Lançamentos!A:A,"&lt;=31/12/2025")</f>
        <v/>
      </c>
      <c r="C18" s="35">
        <f>SUMIFS(Lançamentos!D:D,Lançamentos!E:E,"Saída",Lançamentos!A:A,"&gt;=01/12/2025",Lançamentos!A:A,"&lt;=31/12/2025")</f>
        <v/>
      </c>
    </row>
    <row r="19">
      <c r="A19" s="33" t="inlineStr">
        <is>
          <t>Jan/2026</t>
        </is>
      </c>
      <c r="B19" s="37">
        <f>SUMIFS(Lançamentos!D:D,Lançamentos!E:E,"Entrada",Lançamentos!A:A,"&gt;=01/01/2026",Lançamentos!A:A,"&lt;=31/01/2026")</f>
        <v/>
      </c>
      <c r="C19" s="37">
        <f>SUMIFS(Lançamentos!D:D,Lançamentos!E:E,"Saída",Lançamentos!A:A,"&gt;=01/01/2026",Lançamentos!A:A,"&lt;=31/01/2026")</f>
        <v/>
      </c>
    </row>
    <row r="20">
      <c r="A20" s="34" t="inlineStr">
        <is>
          <t>Fev/2026</t>
        </is>
      </c>
      <c r="B20" s="35">
        <f>SUMIFS(Lançamentos!D:D,Lançamentos!E:E,"Entrada",Lançamentos!A:A,"&gt;=01/02/2026",Lançamentos!A:A,"&lt;=28/02/2026")</f>
        <v/>
      </c>
      <c r="C20" s="35">
        <f>SUMIFS(Lançamentos!D:D,Lançamentos!E:E,"Saída",Lançamentos!A:A,"&gt;=01/02/2026",Lançamentos!A:A,"&lt;=28/02/2026")</f>
        <v/>
      </c>
    </row>
    <row r="21">
      <c r="A21" s="33" t="inlineStr">
        <is>
          <t>Mar/2026</t>
        </is>
      </c>
      <c r="B21" s="37">
        <f>SUMIFS(Lançamentos!D:D,Lançamentos!E:E,"Entrada",Lançamentos!A:A,"&gt;=01/03/2026",Lançamentos!A:A,"&lt;=31/03/2026")</f>
        <v/>
      </c>
      <c r="C21" s="37">
        <f>SUMIFS(Lançamentos!D:D,Lançamentos!E:E,"Saída",Lançamentos!A:A,"&gt;=01/03/2026",Lançamentos!A:A,"&lt;=31/03/2026")</f>
        <v/>
      </c>
    </row>
    <row r="22">
      <c r="A22" s="34" t="inlineStr">
        <is>
          <t>Abr/2026</t>
        </is>
      </c>
      <c r="B22" s="35">
        <f>SUMIFS(Lançamentos!D:D,Lançamentos!E:E,"Entrada",Lançamentos!A:A,"&gt;=01/04/2026",Lançamentos!A:A,"&lt;=30/04/2026")</f>
        <v/>
      </c>
      <c r="C22" s="35">
        <f>SUMIFS(Lançamentos!D:D,Lançamentos!E:E,"Saída",Lançamentos!A:A,"&gt;=01/04/2026",Lançamentos!A:A,"&lt;=30/04/2026")</f>
        <v/>
      </c>
    </row>
    <row r="23">
      <c r="A23" s="33" t="inlineStr">
        <is>
          <t>Mai/2026</t>
        </is>
      </c>
      <c r="B23" s="37">
        <f>SUMIFS(Lançamentos!D:D,Lançamentos!E:E,"Entrada",Lançamentos!A:A,"&gt;=01/05/2026",Lançamentos!A:A,"&lt;=31/05/2026")</f>
        <v/>
      </c>
      <c r="C23" s="37">
        <f>SUMIFS(Lançamentos!D:D,Lançamentos!E:E,"Saída",Lançamentos!A:A,"&gt;=01/05/2026",Lançamentos!A:A,"&lt;=31/05/2026")</f>
        <v/>
      </c>
    </row>
    <row r="24">
      <c r="A24" s="39" t="inlineStr">
        <is>
          <t>ÚLTIMAS TRANSAÇÕES</t>
        </is>
      </c>
    </row>
    <row r="25">
      <c r="A25" s="40" t="inlineStr">
        <is>
          <t>Data</t>
        </is>
      </c>
      <c r="B25" s="40" t="inlineStr">
        <is>
          <t>Descrição</t>
        </is>
      </c>
      <c r="C25" s="40" t="inlineStr">
        <is>
          <t>Categoria</t>
        </is>
      </c>
      <c r="D25" s="40" t="inlineStr">
        <is>
          <t>Valor (R$)</t>
        </is>
      </c>
      <c r="E25" s="40" t="inlineStr">
        <is>
          <t>Tipo</t>
        </is>
      </c>
      <c r="F25" s="41" t="inlineStr"/>
    </row>
    <row r="26">
      <c r="A26" s="42">
        <f>Lançamentos!A39</f>
        <v/>
      </c>
      <c r="B26" s="34">
        <f>Lançamentos!B39</f>
        <v/>
      </c>
      <c r="C26" s="34">
        <f>Lançamentos!C39</f>
        <v/>
      </c>
      <c r="D26" s="35">
        <f>Lançamentos!D39</f>
        <v/>
      </c>
      <c r="E26" s="34">
        <f>Lançamentos!E39</f>
        <v/>
      </c>
    </row>
    <row r="27">
      <c r="A27" s="43">
        <f>Lançamentos!A40</f>
        <v/>
      </c>
      <c r="B27" s="33">
        <f>Lançamentos!B40</f>
        <v/>
      </c>
      <c r="C27" s="33">
        <f>Lançamentos!C40</f>
        <v/>
      </c>
      <c r="D27" s="37">
        <f>Lançamentos!D40</f>
        <v/>
      </c>
      <c r="E27" s="33">
        <f>Lançamentos!E40</f>
        <v/>
      </c>
    </row>
    <row r="28">
      <c r="A28" s="42">
        <f>Lançamentos!A41</f>
        <v/>
      </c>
      <c r="B28" s="34">
        <f>Lançamentos!B41</f>
        <v/>
      </c>
      <c r="C28" s="34">
        <f>Lançamentos!C41</f>
        <v/>
      </c>
      <c r="D28" s="35">
        <f>Lançamentos!D41</f>
        <v/>
      </c>
      <c r="E28" s="34">
        <f>Lançamentos!E41</f>
        <v/>
      </c>
    </row>
    <row r="29">
      <c r="A29" s="43">
        <f>Lançamentos!A42</f>
        <v/>
      </c>
      <c r="B29" s="33">
        <f>Lançamentos!B42</f>
        <v/>
      </c>
      <c r="C29" s="33">
        <f>Lançamentos!C42</f>
        <v/>
      </c>
      <c r="D29" s="37">
        <f>Lançamentos!D42</f>
        <v/>
      </c>
      <c r="E29" s="33">
        <f>Lançamentos!E42</f>
        <v/>
      </c>
    </row>
    <row r="30">
      <c r="A30" s="42">
        <f>Lançamentos!A43</f>
        <v/>
      </c>
      <c r="B30" s="34">
        <f>Lançamentos!B43</f>
        <v/>
      </c>
      <c r="C30" s="34">
        <f>Lançamentos!C43</f>
        <v/>
      </c>
      <c r="D30" s="35">
        <f>Lançamentos!D43</f>
        <v/>
      </c>
      <c r="E30" s="34">
        <f>Lançamentos!E43</f>
        <v/>
      </c>
    </row>
    <row r="31">
      <c r="A31" s="43">
        <f>Lançamentos!A44</f>
        <v/>
      </c>
      <c r="B31" s="33">
        <f>Lançamentos!B44</f>
        <v/>
      </c>
      <c r="C31" s="33">
        <f>Lançamentos!C44</f>
        <v/>
      </c>
      <c r="D31" s="37">
        <f>Lançamentos!D44</f>
        <v/>
      </c>
      <c r="E31" s="33">
        <f>Lançamentos!E44</f>
        <v/>
      </c>
    </row>
    <row r="32">
      <c r="A32" s="42">
        <f>Lançamentos!A45</f>
        <v/>
      </c>
      <c r="B32" s="34">
        <f>Lançamentos!B45</f>
        <v/>
      </c>
      <c r="C32" s="34">
        <f>Lançamentos!C45</f>
        <v/>
      </c>
      <c r="D32" s="35">
        <f>Lançamentos!D45</f>
        <v/>
      </c>
      <c r="E32" s="34">
        <f>Lançamentos!E45</f>
        <v/>
      </c>
    </row>
    <row r="33">
      <c r="A33" s="43">
        <f>Lançamentos!A46</f>
        <v/>
      </c>
      <c r="B33" s="33">
        <f>Lançamentos!B46</f>
        <v/>
      </c>
      <c r="C33" s="33">
        <f>Lançamentos!C46</f>
        <v/>
      </c>
      <c r="D33" s="37">
        <f>Lançamentos!D46</f>
        <v/>
      </c>
      <c r="E33" s="33">
        <f>Lançamentos!E46</f>
        <v/>
      </c>
    </row>
    <row r="34">
      <c r="A34" s="42">
        <f>Lançamentos!A47</f>
        <v/>
      </c>
      <c r="B34" s="34">
        <f>Lançamentos!B47</f>
        <v/>
      </c>
      <c r="C34" s="34">
        <f>Lançamentos!C47</f>
        <v/>
      </c>
      <c r="D34" s="35">
        <f>Lançamentos!D47</f>
        <v/>
      </c>
      <c r="E34" s="34">
        <f>Lançamentos!E47</f>
        <v/>
      </c>
    </row>
    <row r="35">
      <c r="A35" s="43">
        <f>Lançamentos!A48</f>
        <v/>
      </c>
      <c r="B35" s="33">
        <f>Lançamentos!B48</f>
        <v/>
      </c>
      <c r="C35" s="33">
        <f>Lançamentos!C48</f>
        <v/>
      </c>
      <c r="D35" s="37">
        <f>Lançamentos!D48</f>
        <v/>
      </c>
      <c r="E35" s="33">
        <f>Lançamentos!E48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CC0"/>
  <mergeCells count="11">
    <mergeCell ref="A4:B4"/>
    <mergeCell ref="A2:F2"/>
    <mergeCell ref="E4:F4"/>
    <mergeCell ref="A24:F24"/>
    <mergeCell ref="A1:F1"/>
    <mergeCell ref="C5:D5"/>
    <mergeCell ref="A5:B5"/>
    <mergeCell ref="A6:C6"/>
    <mergeCell ref="E5:F5"/>
    <mergeCell ref="A16:C16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2026-05-10T19:20:55Z</dcterms:created>
  <dcterms:modified xmlns:dcterms="http://purl.org/dc/terms/" xmlns:xsi="http://www.w3.org/2001/XMLSchema-instance" xsi:type="dcterms:W3CDTF">2026-05-10T19:50:45Z</dcterms:modified>
</cp:coreProperties>
</file>